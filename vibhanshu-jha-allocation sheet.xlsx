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ing right quantity" sheetId="1" r:id="rId5"/>
    <sheet state="visible" name="Tracker" sheetId="2" r:id="rId6"/>
    <sheet state="visible" name="XIRR" sheetId="3" r:id="rId7"/>
    <sheet state="visible" name="Compare with the best" sheetId="4" r:id="rId8"/>
    <sheet state="visible" name="vibhanshu" sheetId="5" r:id="rId9"/>
    <sheet state="visible" name="US portfolio" sheetId="6" r:id="rId10"/>
    <sheet state="visible" name="HUF" sheetId="7" r:id="rId11"/>
    <sheet state="visible" name="manjari" sheetId="8" r:id="rId12"/>
    <sheet state="visible" name="MANJBHAWNA" sheetId="9" r:id="rId13"/>
    <sheet state="visible" name="consolidated" sheetId="10" r:id="rId14"/>
  </sheets>
  <definedNames/>
  <calcPr/>
</workbook>
</file>

<file path=xl/sharedStrings.xml><?xml version="1.0" encoding="utf-8"?>
<sst xmlns="http://schemas.openxmlformats.org/spreadsheetml/2006/main" count="806" uniqueCount="409">
  <si>
    <t>Stock Name</t>
  </si>
  <si>
    <t>Code</t>
  </si>
  <si>
    <t>CMP</t>
  </si>
  <si>
    <t>Allocation</t>
  </si>
  <si>
    <t>Quantity</t>
  </si>
  <si>
    <t>Capital</t>
  </si>
  <si>
    <t>Actual</t>
  </si>
  <si>
    <t>ABDL</t>
  </si>
  <si>
    <t>NSE:ABDL</t>
  </si>
  <si>
    <t>29,00,000</t>
  </si>
  <si>
    <t>UJIVAN</t>
  </si>
  <si>
    <t>NSE:NIFTYBEES</t>
  </si>
  <si>
    <t>AU</t>
  </si>
  <si>
    <t>NSE:SAMHI</t>
  </si>
  <si>
    <t>OSWAL PUMPS</t>
  </si>
  <si>
    <t>NSE:NH</t>
  </si>
  <si>
    <t>TD Power</t>
  </si>
  <si>
    <t>NSE:TDPOWERSYS</t>
  </si>
  <si>
    <t>Allied blenders</t>
  </si>
  <si>
    <t>Tata Motors</t>
  </si>
  <si>
    <t>NSE:TATAMOTORS</t>
  </si>
  <si>
    <t xml:space="preserve">New ideas </t>
  </si>
  <si>
    <t>Sansera</t>
  </si>
  <si>
    <t xml:space="preserve">must buy </t>
  </si>
  <si>
    <t>Jayaswal neco</t>
  </si>
  <si>
    <t>must buy</t>
  </si>
  <si>
    <t>Buy Price</t>
  </si>
  <si>
    <t xml:space="preserve">Investment </t>
  </si>
  <si>
    <t>Change today</t>
  </si>
  <si>
    <t>Change today%</t>
  </si>
  <si>
    <t>Current value</t>
  </si>
  <si>
    <t>Gain/loss</t>
  </si>
  <si>
    <t>Gain/loss %</t>
  </si>
  <si>
    <t>Allocation (current)</t>
  </si>
  <si>
    <t>Allocation(Cost basis)</t>
  </si>
  <si>
    <t>Note</t>
  </si>
  <si>
    <t>Core</t>
  </si>
  <si>
    <t>core</t>
  </si>
  <si>
    <t>satellite</t>
  </si>
  <si>
    <t>Cash</t>
  </si>
  <si>
    <t>NEULAND</t>
  </si>
  <si>
    <t>SHIVALIK</t>
  </si>
  <si>
    <t>Starting date</t>
  </si>
  <si>
    <t>Core Portfolio value</t>
  </si>
  <si>
    <t>Investment Value</t>
  </si>
  <si>
    <t>Satellite Portfolio value</t>
  </si>
  <si>
    <t>STOCKS TO BUY</t>
  </si>
  <si>
    <t>Absolute returns</t>
  </si>
  <si>
    <t>Absolute Return %</t>
  </si>
  <si>
    <t>astra micro</t>
  </si>
  <si>
    <t>CAGR %</t>
  </si>
  <si>
    <t>oswal</t>
  </si>
  <si>
    <t>XIRR</t>
  </si>
  <si>
    <t>ujjivan</t>
  </si>
  <si>
    <t>Date</t>
  </si>
  <si>
    <t>Cashoflow</t>
  </si>
  <si>
    <t>Initial cashflow</t>
  </si>
  <si>
    <t xml:space="preserve">Addl cash </t>
  </si>
  <si>
    <t>SAJALS 20 STOCKS</t>
  </si>
  <si>
    <t>LAURUS</t>
  </si>
  <si>
    <t>SANSERA</t>
  </si>
  <si>
    <t>SOLARA</t>
  </si>
  <si>
    <t>FDC</t>
  </si>
  <si>
    <t>DCAL</t>
  </si>
  <si>
    <t>EUREKA</t>
  </si>
  <si>
    <t>WINDLAS</t>
  </si>
  <si>
    <t>NEULAND (UNBDER WEIGHT)</t>
  </si>
  <si>
    <t>NH</t>
  </si>
  <si>
    <t>Portfolio name</t>
  </si>
  <si>
    <t>NAV at the start date</t>
  </si>
  <si>
    <t>Current NAV</t>
  </si>
  <si>
    <t>Returns %</t>
  </si>
  <si>
    <t>My portfolio</t>
  </si>
  <si>
    <t>-</t>
  </si>
  <si>
    <t>PPFAS</t>
  </si>
  <si>
    <t>MUTF_IN:PARA_PARI_FLEX_17J17OL</t>
  </si>
  <si>
    <t>Motilal mid cap fund</t>
  </si>
  <si>
    <t>MUTF_IN:MOTI_OSWA_MIDC_1E5B8T2</t>
  </si>
  <si>
    <t>stock</t>
  </si>
  <si>
    <t>Stock tikr</t>
  </si>
  <si>
    <t>Average Buying price</t>
  </si>
  <si>
    <t>quantity</t>
  </si>
  <si>
    <t>Investment</t>
  </si>
  <si>
    <t>change today</t>
  </si>
  <si>
    <t>Over all change</t>
  </si>
  <si>
    <t>Neuland</t>
  </si>
  <si>
    <t>NSE:NEULANDLAB</t>
  </si>
  <si>
    <t>nh</t>
  </si>
  <si>
    <t>JMFINANCIALS</t>
  </si>
  <si>
    <t>NSE:JMFINANCIL</t>
  </si>
  <si>
    <t>NSE:SOLARA</t>
  </si>
  <si>
    <t>NSE:WINDLAS</t>
  </si>
  <si>
    <t>ABCAPITAL</t>
  </si>
  <si>
    <t>NSE:ABCAPITAL</t>
  </si>
  <si>
    <t>TDPOWERSYS</t>
  </si>
  <si>
    <t>NSE:LAURUSLABS</t>
  </si>
  <si>
    <t>ENTERO</t>
  </si>
  <si>
    <t>NSE:ENTERO</t>
  </si>
  <si>
    <t>NSE:INTERARCH</t>
  </si>
  <si>
    <t>PAYTM</t>
  </si>
  <si>
    <t>NSE:PAYTM</t>
  </si>
  <si>
    <t>UJJIVANSFB</t>
  </si>
  <si>
    <t>NSE:UJJIVANSFB</t>
  </si>
  <si>
    <t>SILVERBEES</t>
  </si>
  <si>
    <t>NSE:SILVERBEES</t>
  </si>
  <si>
    <t>GOLD</t>
  </si>
  <si>
    <t>NSE:GOLDIETF</t>
  </si>
  <si>
    <t>CSBBANK</t>
  </si>
  <si>
    <t>NSE:CSBBANK</t>
  </si>
  <si>
    <t>POCL</t>
  </si>
  <si>
    <t>NSE:POCL</t>
  </si>
  <si>
    <t>MCX</t>
  </si>
  <si>
    <t>NSE:MCX</t>
  </si>
  <si>
    <t>ACUTAS</t>
  </si>
  <si>
    <t>NSE:ACUTAAS</t>
  </si>
  <si>
    <t>AARTPHARM</t>
  </si>
  <si>
    <t>NSE:AARTIPHARM</t>
  </si>
  <si>
    <t>NSE:SANSERA</t>
  </si>
  <si>
    <t>SNACOMS</t>
  </si>
  <si>
    <t>NSE:SONACOMS</t>
  </si>
  <si>
    <t>J&amp;KBANK</t>
  </si>
  <si>
    <t>NSE:J&amp;KBANK</t>
  </si>
  <si>
    <t>SIL</t>
  </si>
  <si>
    <t>MANJARI</t>
  </si>
  <si>
    <t>CASH</t>
  </si>
  <si>
    <t>REMX</t>
  </si>
  <si>
    <t>GDX</t>
  </si>
  <si>
    <t>BE</t>
  </si>
  <si>
    <t>GLD</t>
  </si>
  <si>
    <t>URNM</t>
  </si>
  <si>
    <t>SLV</t>
  </si>
  <si>
    <t>Rocket labs</t>
  </si>
  <si>
    <t>RKLB</t>
  </si>
  <si>
    <t>COPX</t>
  </si>
  <si>
    <t>GRID</t>
  </si>
  <si>
    <t>PAVE</t>
  </si>
  <si>
    <t>SII</t>
  </si>
  <si>
    <t>VIBHANSHU</t>
  </si>
  <si>
    <t>SILJ</t>
  </si>
  <si>
    <t>WDGF</t>
  </si>
  <si>
    <t xml:space="preserve">GOLD MINERS </t>
  </si>
  <si>
    <t>SILVER MINERS</t>
  </si>
  <si>
    <t>US EQUITY</t>
  </si>
  <si>
    <t>COPPER</t>
  </si>
  <si>
    <t>URANIUM</t>
  </si>
  <si>
    <t>DEFENCE</t>
  </si>
  <si>
    <t>ELECTRIFICATION</t>
  </si>
  <si>
    <t>SILVER</t>
  </si>
  <si>
    <t>WDEF</t>
  </si>
  <si>
    <t xml:space="preserve">Total US pORTFOLIO IN INR </t>
  </si>
  <si>
    <t>GOLD and Silver</t>
  </si>
  <si>
    <t>GOLD MINER</t>
  </si>
  <si>
    <t>SILVER MINER</t>
  </si>
  <si>
    <t>VIB</t>
  </si>
  <si>
    <t>MANJ</t>
  </si>
  <si>
    <t xml:space="preserve">Copper notes </t>
  </si>
  <si>
    <t xml:space="preserve">Current producing copper businesses are much less tahn what they are </t>
  </si>
  <si>
    <t>Column 1</t>
  </si>
  <si>
    <t>Column 1 2</t>
  </si>
  <si>
    <t>NSE:FDC</t>
  </si>
  <si>
    <t>NSE:SMLMAH</t>
  </si>
  <si>
    <t>Alwyas remember the following loss</t>
  </si>
  <si>
    <t>15 may for ibreal</t>
  </si>
  <si>
    <t>ppl</t>
  </si>
  <si>
    <t>got carried away with PE buying at much lower price</t>
  </si>
  <si>
    <t>pel</t>
  </si>
  <si>
    <t>got carried away with special situation</t>
  </si>
  <si>
    <t>laurus</t>
  </si>
  <si>
    <t xml:space="preserve">was not able to predict cyclic nature </t>
  </si>
  <si>
    <t>ibreal</t>
  </si>
  <si>
    <t xml:space="preserve">waited for special situations to happen </t>
  </si>
  <si>
    <t>aavas</t>
  </si>
  <si>
    <t>Had lot of coviction on home finance</t>
  </si>
  <si>
    <t xml:space="preserve">dynamic promoter left </t>
  </si>
  <si>
    <t xml:space="preserve">loss </t>
  </si>
  <si>
    <t>GMM</t>
  </si>
  <si>
    <t>new losses made in october sell</t>
  </si>
  <si>
    <t>krishca</t>
  </si>
  <si>
    <t>think 1000 times before putting into sme space - headwinds against sme was also reason , company was realy good</t>
  </si>
  <si>
    <t>just dial</t>
  </si>
  <si>
    <t>Sold them as had beeter opportunity ,again not bad company but headwinds were there</t>
  </si>
  <si>
    <t>EIH</t>
  </si>
  <si>
    <t>Sold them to move to better story Samhi</t>
  </si>
  <si>
    <t>kirloskar engines</t>
  </si>
  <si>
    <t>was a big mistake .learning is when you have to sell dont wait for price to come back could had easily saved a lakh</t>
  </si>
  <si>
    <t>Apar</t>
  </si>
  <si>
    <t xml:space="preserve">was a mistake where i ended up buying more even after bull market started , should had sold after a bad con call whihc clearly showed slow down , should had sold even after ishmohit giving a sell call ,would had easily saved 3 lakhs 7 thousand so always sell when expert says to sell </t>
  </si>
  <si>
    <t>shivalik rasayan</t>
  </si>
  <si>
    <t>let numbers show like larus as sajals bets needs to be played with some stomach</t>
  </si>
  <si>
    <t>losses in year 2025</t>
  </si>
  <si>
    <t xml:space="preserve">Arvind smart space </t>
  </si>
  <si>
    <t>Its moving too slow and exited as there were better ideas . Could had avoided it</t>
  </si>
  <si>
    <t>Oswal pumps</t>
  </si>
  <si>
    <t>B2G and signals were pretty clear</t>
  </si>
  <si>
    <t>losses in year 2026</t>
  </si>
  <si>
    <t>Intellect design arena</t>
  </si>
  <si>
    <t xml:space="preserve">IT as a sector or tech was not prefffred , went against sector narrative and bought beacuse of an amzing quarter , false break out also was reason , learning is breakput for a sector whihc is not prefferred should be tighlt managed by stop loss otherwise it will end up you burning fingers .Its ok if you want to sit but there is very high chance of opporunity cost </t>
  </si>
  <si>
    <t>jayaswal neco</t>
  </si>
  <si>
    <t>market really deteriorated  and betting on turn around story seemed little more risky as many better stories started looking very good to buy</t>
  </si>
  <si>
    <t>\</t>
  </si>
  <si>
    <t>SAMHI</t>
  </si>
  <si>
    <t>JM FINANCIALS</t>
  </si>
  <si>
    <t>NSE:LAURUS</t>
  </si>
  <si>
    <t>NSE:UJJIVAN</t>
  </si>
  <si>
    <t>NSE:GOLDBEES</t>
  </si>
  <si>
    <t>bull</t>
  </si>
  <si>
    <t>exit pe</t>
  </si>
  <si>
    <t>base</t>
  </si>
  <si>
    <t>bear</t>
  </si>
  <si>
    <t>current pe</t>
  </si>
  <si>
    <t>senco</t>
  </si>
  <si>
    <t>medassist</t>
  </si>
  <si>
    <t>indigo</t>
  </si>
  <si>
    <t>equitas</t>
  </si>
  <si>
    <t>3x</t>
  </si>
  <si>
    <t>2.5x</t>
  </si>
  <si>
    <t>2x</t>
  </si>
  <si>
    <t>racl</t>
  </si>
  <si>
    <t>venus</t>
  </si>
  <si>
    <t>samhi</t>
  </si>
  <si>
    <t>glenmark</t>
  </si>
  <si>
    <t>polycab</t>
  </si>
  <si>
    <t>pennar</t>
  </si>
  <si>
    <t>marksans</t>
  </si>
  <si>
    <t>time technoplast</t>
  </si>
  <si>
    <t>sandhar</t>
  </si>
  <si>
    <t>Stock tikr 2</t>
  </si>
  <si>
    <t>MARKET CAP</t>
  </si>
  <si>
    <t>Invested Amount</t>
  </si>
  <si>
    <t>Current Value</t>
  </si>
  <si>
    <t>Date of Buy</t>
  </si>
  <si>
    <t xml:space="preserve">Profit </t>
  </si>
  <si>
    <t>Allocation %</t>
  </si>
  <si>
    <t>Allocation % 2</t>
  </si>
  <si>
    <t>PE</t>
  </si>
  <si>
    <t>Allowed drawdown</t>
  </si>
  <si>
    <t>Allowed Price</t>
  </si>
  <si>
    <t>Max Price</t>
  </si>
  <si>
    <t>Column 17</t>
  </si>
  <si>
    <t>Hotels</t>
  </si>
  <si>
    <t>cash</t>
  </si>
  <si>
    <t>neuland</t>
  </si>
  <si>
    <t>CHEMICALS</t>
  </si>
  <si>
    <t>nh(6.1)</t>
  </si>
  <si>
    <t xml:space="preserve">SFB </t>
  </si>
  <si>
    <t>SAMHI(5.8)</t>
  </si>
  <si>
    <t>NBFC</t>
  </si>
  <si>
    <t>JMFINANCIALS(4.3)</t>
  </si>
  <si>
    <t>WINDLAS(2.4)</t>
  </si>
  <si>
    <t>AUTO ANC</t>
  </si>
  <si>
    <t>UJJIVAN</t>
  </si>
  <si>
    <t>SOLARA(sajal)</t>
  </si>
  <si>
    <t>AB CAPITAL</t>
  </si>
  <si>
    <t>METALS</t>
  </si>
  <si>
    <t>TDPOWER</t>
  </si>
  <si>
    <t>ABCAPITAL(5.9)</t>
  </si>
  <si>
    <t>csb bank</t>
  </si>
  <si>
    <t>JAYNECO</t>
  </si>
  <si>
    <t>TDPOWERSYS(5.4)</t>
  </si>
  <si>
    <t>UJJIVAN SFB</t>
  </si>
  <si>
    <t>PEB</t>
  </si>
  <si>
    <t>LAURUS(sajal)</t>
  </si>
  <si>
    <t>HOSP AND DIAGNOSTICS</t>
  </si>
  <si>
    <t>ENTERO(4.6)</t>
  </si>
  <si>
    <t>IT</t>
  </si>
  <si>
    <t xml:space="preserve"> </t>
  </si>
  <si>
    <t>INTERARCH(3.8)</t>
  </si>
  <si>
    <t>CV</t>
  </si>
  <si>
    <t>HCG</t>
  </si>
  <si>
    <t>PAYTM(4.5)</t>
  </si>
  <si>
    <t>UJJIVANSFB(7)</t>
  </si>
  <si>
    <t>FORCE MOTORS</t>
  </si>
  <si>
    <t>FDC(Sajal)</t>
  </si>
  <si>
    <t>INTERNET</t>
  </si>
  <si>
    <t>CDMO/CRAM/GENERICS</t>
  </si>
  <si>
    <t>6 company basket</t>
  </si>
  <si>
    <t>CSBBANK(7.6)</t>
  </si>
  <si>
    <t>BUILDING MATERIALS</t>
  </si>
  <si>
    <t>% allocation</t>
  </si>
  <si>
    <t>SOIC</t>
  </si>
  <si>
    <t>large cap</t>
  </si>
  <si>
    <t>POCL(4.3)</t>
  </si>
  <si>
    <t>top 5</t>
  </si>
  <si>
    <t>mid</t>
  </si>
  <si>
    <t>MCX(7.5)</t>
  </si>
  <si>
    <t>INTERARCH</t>
  </si>
  <si>
    <t>top 10</t>
  </si>
  <si>
    <t xml:space="preserve">small cap </t>
  </si>
  <si>
    <t>ACUTAS(6.6)</t>
  </si>
  <si>
    <t>top 15</t>
  </si>
  <si>
    <t>SANSERA(Sajal)</t>
  </si>
  <si>
    <t>AARTIPHARM</t>
  </si>
  <si>
    <t>SONACOMS(Sejal)</t>
  </si>
  <si>
    <t>ACUUTAS</t>
  </si>
  <si>
    <t>health care</t>
  </si>
  <si>
    <t>SMLMAHINDRA(3.5)</t>
  </si>
  <si>
    <t>CDMO Should be 25% of portfolio</t>
  </si>
  <si>
    <t>OVER ALL SUM</t>
  </si>
  <si>
    <t>PHARMA</t>
  </si>
  <si>
    <t>its a structural story</t>
  </si>
  <si>
    <t>MISCELLANEOUS</t>
  </si>
  <si>
    <t>GOLDMINERS</t>
  </si>
  <si>
    <t>SILVERMINERS</t>
  </si>
  <si>
    <t>GOLDFINANCIER</t>
  </si>
  <si>
    <t xml:space="preserve">GOLD PORTFOLIO </t>
  </si>
  <si>
    <t>target 25% by end of 2022</t>
  </si>
  <si>
    <t xml:space="preserve">PRECIOUS METALS </t>
  </si>
  <si>
    <t>MANJ US</t>
  </si>
  <si>
    <t>HUF</t>
  </si>
  <si>
    <t>sajal</t>
  </si>
  <si>
    <t xml:space="preserve">POWER </t>
  </si>
  <si>
    <t>khemka</t>
  </si>
  <si>
    <t>VIB US</t>
  </si>
  <si>
    <t>PORTFOLIO VALUE 13TH JUNE</t>
  </si>
  <si>
    <t>AIF</t>
  </si>
  <si>
    <t>SUM OF ALL SHEETS</t>
  </si>
  <si>
    <t>VIBS</t>
  </si>
  <si>
    <t>Was Target Achieved</t>
  </si>
  <si>
    <t>5 cr (today)</t>
  </si>
  <si>
    <t>8th august</t>
  </si>
  <si>
    <t>returns 1.5 + 50 lakhs new money invested</t>
  </si>
  <si>
    <t>7 crore</t>
  </si>
  <si>
    <t>14th august</t>
  </si>
  <si>
    <t xml:space="preserve">2.1+ 0.5 </t>
  </si>
  <si>
    <t>NO</t>
  </si>
  <si>
    <t>Retirement year</t>
  </si>
  <si>
    <t>Max extended corporate life</t>
  </si>
  <si>
    <t>Company</t>
  </si>
  <si>
    <t>Allocation (%) Jan sheet</t>
  </si>
  <si>
    <t>Allocation (%) December sheet</t>
  </si>
  <si>
    <t>Allocation (%) November sheet</t>
  </si>
  <si>
    <t>Allocation (%) October sheet</t>
  </si>
  <si>
    <t>Allocation (%) September sheet</t>
  </si>
  <si>
    <t>Allocation (%) August sheet</t>
  </si>
  <si>
    <t>Allocation (%) July sheet</t>
  </si>
  <si>
    <t>Allocation (%) June sheet</t>
  </si>
  <si>
    <t>Allocation (%) may sheet</t>
  </si>
  <si>
    <t>Allocation (%) april sheet</t>
  </si>
  <si>
    <t>CSB bank</t>
  </si>
  <si>
    <t>CSB</t>
  </si>
  <si>
    <t xml:space="preserve">Samhi </t>
  </si>
  <si>
    <t>Samhi Hotels</t>
  </si>
  <si>
    <t>Aditya Birla Capital</t>
  </si>
  <si>
    <t xml:space="preserve">MCX </t>
  </si>
  <si>
    <t>AB Capital</t>
  </si>
  <si>
    <t xml:space="preserve">td power </t>
  </si>
  <si>
    <t xml:space="preserve">samhi </t>
  </si>
  <si>
    <t>TD Power Systems</t>
  </si>
  <si>
    <t>Cholamandalam Financial Holdings</t>
  </si>
  <si>
    <t>Ujjivan</t>
  </si>
  <si>
    <t>Entero Healthcare Solutions</t>
  </si>
  <si>
    <t>Force Motors</t>
  </si>
  <si>
    <t>Narayana Hrudayalaya</t>
  </si>
  <si>
    <t>Lumax</t>
  </si>
  <si>
    <t>ab capital</t>
  </si>
  <si>
    <t>Oswal Pumps</t>
  </si>
  <si>
    <t>Garware Hi Tech Films</t>
  </si>
  <si>
    <t>paytm</t>
  </si>
  <si>
    <t>AU Small Finance Bank</t>
  </si>
  <si>
    <t>Indiamart Intermesh</t>
  </si>
  <si>
    <t>TD power</t>
  </si>
  <si>
    <t>entero</t>
  </si>
  <si>
    <t>ida</t>
  </si>
  <si>
    <t>goldiam</t>
  </si>
  <si>
    <t>Thangamayil Jewellery</t>
  </si>
  <si>
    <t>One 97 Communications</t>
  </si>
  <si>
    <t>lumax</t>
  </si>
  <si>
    <t>abdl</t>
  </si>
  <si>
    <t>lumax auto technologies</t>
  </si>
  <si>
    <t>JM financials</t>
  </si>
  <si>
    <t>Ujjivan Small Finance Bank</t>
  </si>
  <si>
    <t>IDA</t>
  </si>
  <si>
    <t>abdl,ida,lumax</t>
  </si>
  <si>
    <t>force motors</t>
  </si>
  <si>
    <t>Goldiam International</t>
  </si>
  <si>
    <t>Garware Hi-Tech Films</t>
  </si>
  <si>
    <t>Goldiam</t>
  </si>
  <si>
    <t>JM Financial</t>
  </si>
  <si>
    <t>physicswallah</t>
  </si>
  <si>
    <t>Acuutas</t>
  </si>
  <si>
    <t>jm , pricol</t>
  </si>
  <si>
    <t>intellect,interarch,pennar,nh,abdl</t>
  </si>
  <si>
    <t>lumax, pennar,abdl</t>
  </si>
  <si>
    <t xml:space="preserve">jm </t>
  </si>
  <si>
    <t>pricol</t>
  </si>
  <si>
    <t>pocl</t>
  </si>
  <si>
    <t>Thangamayil</t>
  </si>
  <si>
    <t>ida/interarch/pricol</t>
  </si>
  <si>
    <t>pennar,pricol,jm financials</t>
  </si>
  <si>
    <t>sml mahindra</t>
  </si>
  <si>
    <t>INTERARCH/GOLDIAM/abdl</t>
  </si>
  <si>
    <t xml:space="preserve">Things to to </t>
  </si>
  <si>
    <t xml:space="preserve">1)Finish stock scans </t>
  </si>
  <si>
    <t xml:space="preserve">2)Create the prompts and keep it in sheet </t>
  </si>
  <si>
    <t xml:space="preserve">3)Read q4 2025 </t>
  </si>
  <si>
    <t>new business</t>
  </si>
  <si>
    <t>jcurve companies</t>
  </si>
  <si>
    <t>ram ratna wires</t>
  </si>
  <si>
    <t>precision wires</t>
  </si>
  <si>
    <t>bansal wires</t>
  </si>
  <si>
    <t>ksh international</t>
  </si>
  <si>
    <t xml:space="preserve">substack </t>
  </si>
  <si>
    <t>s%3AImTcA_AlOIV9ULPfGQttiRZY6KwIp8EQ.rUPtURy8NdTcXx203WgnpLw%2BnaeU9ffigOwcNNolsGE</t>
  </si>
  <si>
    <t xml:space="preserve">telegram </t>
  </si>
  <si>
    <t>8796398617:AAEEoLN7M2GwB3cvz2Ih-MzlfRPdmgk3Ybg</t>
  </si>
  <si>
    <t>chat id</t>
  </si>
  <si>
    <t>vib</t>
  </si>
  <si>
    <t>links-digest</t>
  </si>
  <si>
    <t>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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</si>
</sst>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000"/>
    <numFmt numFmtId="165" formatCode="d/m/yyyy"/>
    <numFmt numFmtId="166" formatCode="0.0000"/>
    <numFmt numFmtId="167" formatCode="dd/mm/yyyy"/>
    <numFmt numFmtId="168" formatCode="d mmmm yyyy"/>
    <numFmt numFmtId="169" formatCode="d mmmm"/>
    <numFmt numFmtId="170" formatCode="0.00000000000"/>
    <numFmt numFmtId="171" formatCode="M/d/yyyy"/>
    <numFmt numFmtId="172" formatCode="m-d"/>
  </numFmts>
  <fonts count="16">
    <font>
      <sz val="10.0"/>
      <color rgb="FF000000"/>
      <name val="Arial"/>
      <scheme val="minor"/>
    </font>
    <font>
      <b/>
      <color theme="1"/>
      <name val="Arial"/>
      <scheme val="minor"/>
    </font>
    <font>
      <b/>
      <color rgb="FFFF9900"/>
      <name val="Arial"/>
      <scheme val="minor"/>
    </font>
    <font>
      <color theme="1"/>
      <name val="Arial"/>
      <scheme val="minor"/>
    </font>
    <font>
      <color rgb="FFFFFFFF"/>
      <name val="Arial"/>
      <scheme val="minor"/>
    </font>
    <font>
      <sz val="11.0"/>
      <color rgb="FF000000"/>
      <name val="Inconsolata"/>
    </font>
    <font>
      <sz val="11.0"/>
      <color rgb="FF7E3794"/>
      <name val="Inconsolata"/>
    </font>
    <font>
      <sz val="8.0"/>
      <color rgb="FF000000"/>
      <name val="&quot;Helvetica Neue&quot;"/>
    </font>
    <font>
      <sz val="11.0"/>
      <color rgb="FF0A0A0A"/>
      <name val="Monospace"/>
    </font>
    <font>
      <color theme="1"/>
      <name val="Arial"/>
    </font>
    <font>
      <sz val="9.0"/>
      <color rgb="FF000000"/>
      <name val="&quot;Google Sans Mono&quot;"/>
    </font>
    <font>
      <sz val="12.0"/>
      <color rgb="FF1F1F1F"/>
      <name val="Arial"/>
    </font>
    <font>
      <sz val="11.0"/>
      <color theme="1"/>
      <name val="Inconsolata"/>
    </font>
    <font>
      <color rgb="FF000000"/>
      <name val="Arial"/>
      <scheme val="minor"/>
    </font>
    <font>
      <b/>
      <sz val="8.0"/>
      <color rgb="FF000000"/>
      <name val="&quot;Helvetica Neue&quot;"/>
    </font>
    <font>
      <sz val="9.0"/>
      <color rgb="FF1F1F1F"/>
      <name val="System-ui"/>
    </font>
  </fonts>
  <fills count="23">
    <fill>
      <patternFill patternType="none"/>
    </fill>
    <fill>
      <patternFill patternType="lightGray"/>
    </fill>
    <fill>
      <patternFill patternType="solid">
        <fgColor rgb="FF000000"/>
        <bgColor rgb="FF000000"/>
      </patternFill>
    </fill>
    <fill>
      <patternFill patternType="solid">
        <fgColor rgb="FFFFE599"/>
        <bgColor rgb="FFFFE599"/>
      </patternFill>
    </fill>
    <fill>
      <patternFill patternType="solid">
        <fgColor rgb="FF00FF00"/>
        <bgColor rgb="FF00FF00"/>
      </patternFill>
    </fill>
    <fill>
      <patternFill patternType="solid">
        <fgColor rgb="FFFFFFFF"/>
        <bgColor rgb="FFFFFFFF"/>
      </patternFill>
    </fill>
    <fill>
      <patternFill patternType="solid">
        <fgColor rgb="FFE5E5E5"/>
        <bgColor rgb="FFE5E5E5"/>
      </patternFill>
    </fill>
    <fill>
      <patternFill patternType="solid">
        <fgColor rgb="FFF4CCCC"/>
        <bgColor rgb="FFF4CCCC"/>
      </patternFill>
    </fill>
    <fill>
      <patternFill patternType="solid">
        <fgColor rgb="FFF3F5F6"/>
        <bgColor rgb="FFF3F5F6"/>
      </patternFill>
    </fill>
    <fill>
      <patternFill patternType="solid">
        <fgColor rgb="FFE06666"/>
        <bgColor rgb="FFE06666"/>
      </patternFill>
    </fill>
    <fill>
      <patternFill patternType="solid">
        <fgColor rgb="FFF9CB9C"/>
        <bgColor rgb="FFF9CB9C"/>
      </patternFill>
    </fill>
    <fill>
      <patternFill patternType="solid">
        <fgColor rgb="FFFFF2CC"/>
        <bgColor rgb="FFFFF2CC"/>
      </patternFill>
    </fill>
    <fill>
      <patternFill patternType="solid">
        <fgColor rgb="FFFFFF00"/>
        <bgColor rgb="FFFFFF00"/>
      </patternFill>
    </fill>
    <fill>
      <patternFill patternType="solid">
        <fgColor rgb="FFC27BA0"/>
        <bgColor rgb="FFC27BA0"/>
      </patternFill>
    </fill>
    <fill>
      <patternFill patternType="solid">
        <fgColor rgb="FF93C47D"/>
        <bgColor rgb="FF93C47D"/>
      </patternFill>
    </fill>
    <fill>
      <patternFill patternType="solid">
        <fgColor rgb="FFB6D7A8"/>
        <bgColor rgb="FFB6D7A8"/>
      </patternFill>
    </fill>
    <fill>
      <patternFill patternType="solid">
        <fgColor theme="0"/>
        <bgColor theme="0"/>
      </patternFill>
    </fill>
    <fill>
      <patternFill patternType="solid">
        <fgColor rgb="FFEA9999"/>
        <bgColor rgb="FFEA9999"/>
      </patternFill>
    </fill>
    <fill>
      <patternFill patternType="solid">
        <fgColor rgb="FFBF9000"/>
        <bgColor rgb="FFBF9000"/>
      </patternFill>
    </fill>
    <fill>
      <patternFill patternType="solid">
        <fgColor rgb="FFE69138"/>
        <bgColor rgb="FFE69138"/>
      </patternFill>
    </fill>
    <fill>
      <patternFill patternType="solid">
        <fgColor rgb="FFB0B3B2"/>
        <bgColor rgb="FFB0B3B2"/>
      </patternFill>
    </fill>
    <fill>
      <patternFill patternType="solid">
        <fgColor rgb="FFE6B8AF"/>
        <bgColor rgb="FFE6B8AF"/>
      </patternFill>
    </fill>
    <fill>
      <patternFill patternType="solid">
        <fgColor rgb="FFD4D4D4"/>
        <bgColor rgb="FFD4D4D4"/>
      </patternFill>
    </fill>
  </fills>
  <borders count="3">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0" xfId="0" applyAlignment="1" applyFill="1" applyFont="1">
      <alignment readingOrder="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9" xfId="0" applyAlignment="1" applyFont="1" applyNumberFormat="1">
      <alignment readingOrder="0" shrinkToFit="0" vertical="center" wrapText="0"/>
    </xf>
    <xf borderId="0" fillId="0" fontId="3" numFmtId="3" xfId="0" applyAlignment="1" applyFont="1" applyNumberFormat="1">
      <alignment readingOrder="0"/>
    </xf>
    <xf borderId="1" fillId="0" fontId="3" numFmtId="0" xfId="0" applyBorder="1" applyFont="1"/>
    <xf borderId="0" fillId="0" fontId="3" numFmtId="0" xfId="0" applyAlignment="1" applyFont="1">
      <alignment readingOrder="0"/>
    </xf>
    <xf borderId="0" fillId="0" fontId="3" numFmtId="9" xfId="0" applyAlignment="1" applyFont="1" applyNumberFormat="1">
      <alignment readingOrder="0"/>
    </xf>
    <xf borderId="0" fillId="0" fontId="3" numFmtId="164" xfId="0" applyFont="1" applyNumberFormat="1"/>
    <xf borderId="2" fillId="3" fontId="3" numFmtId="0" xfId="0" applyAlignment="1" applyBorder="1" applyFill="1" applyFont="1">
      <alignment readingOrder="0" shrinkToFit="0" vertical="center" wrapText="0"/>
    </xf>
    <xf borderId="2" fillId="3"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shrinkToFit="0" vertical="center" wrapText="0"/>
    </xf>
    <xf borderId="2" fillId="0" fontId="3" numFmtId="10" xfId="0" applyAlignment="1" applyBorder="1" applyFont="1" applyNumberFormat="1">
      <alignment shrinkToFit="0" vertical="center" wrapText="0"/>
    </xf>
    <xf borderId="2" fillId="0" fontId="3" numFmtId="0" xfId="0" applyAlignment="1" applyBorder="1" applyFont="1">
      <alignment readingOrder="0"/>
    </xf>
    <xf borderId="2" fillId="0" fontId="3" numFmtId="165" xfId="0" applyAlignment="1" applyBorder="1" applyFont="1" applyNumberFormat="1">
      <alignment readingOrder="0"/>
    </xf>
    <xf borderId="0" fillId="0" fontId="4" numFmtId="166" xfId="0" applyFont="1" applyNumberFormat="1"/>
    <xf borderId="2" fillId="0" fontId="3" numFmtId="0" xfId="0" applyBorder="1" applyFont="1"/>
    <xf borderId="0" fillId="0" fontId="3" numFmtId="0" xfId="0" applyFont="1"/>
    <xf borderId="2" fillId="0" fontId="3" numFmtId="10" xfId="0" applyBorder="1" applyFont="1" applyNumberFormat="1"/>
    <xf borderId="0" fillId="0" fontId="3" numFmtId="165" xfId="0" applyAlignment="1" applyFont="1" applyNumberFormat="1">
      <alignment readingOrder="0"/>
    </xf>
    <xf borderId="0" fillId="0" fontId="3" numFmtId="167" xfId="0" applyAlignment="1" applyFont="1" applyNumberFormat="1">
      <alignment readingOrder="0"/>
    </xf>
    <xf borderId="0" fillId="0" fontId="3" numFmtId="14" xfId="0" applyFont="1" applyNumberFormat="1"/>
    <xf borderId="2" fillId="4" fontId="3" numFmtId="0" xfId="0" applyAlignment="1" applyBorder="1" applyFill="1" applyFont="1">
      <alignment readingOrder="0" shrinkToFit="0" vertical="center" wrapText="0"/>
    </xf>
    <xf borderId="2" fillId="4" fontId="3" numFmtId="10" xfId="0" applyAlignment="1" applyBorder="1" applyFont="1" applyNumberFormat="1">
      <alignment shrinkToFit="0" vertical="center" wrapText="0"/>
    </xf>
    <xf borderId="0" fillId="0" fontId="3" numFmtId="10" xfId="0" applyFont="1" applyNumberFormat="1"/>
    <xf borderId="0" fillId="5" fontId="5" numFmtId="0" xfId="0" applyFill="1" applyFont="1"/>
    <xf borderId="0" fillId="5" fontId="6" numFmtId="0" xfId="0" applyFont="1"/>
    <xf borderId="0" fillId="6" fontId="5" numFmtId="0" xfId="0" applyAlignment="1" applyFill="1" applyFont="1">
      <alignment horizontal="left"/>
    </xf>
    <xf borderId="0" fillId="5" fontId="5" numFmtId="0" xfId="0" applyAlignment="1" applyFont="1">
      <alignment readingOrder="0"/>
    </xf>
    <xf borderId="0" fillId="0" fontId="3" numFmtId="0" xfId="0" applyAlignment="1" applyFont="1">
      <alignment readingOrder="0" shrinkToFit="0" wrapText="1"/>
    </xf>
    <xf borderId="0" fillId="5" fontId="5" numFmtId="0" xfId="0" applyAlignment="1" applyFont="1">
      <alignment readingOrder="0" shrinkToFit="0" wrapText="1"/>
    </xf>
    <xf borderId="2" fillId="0" fontId="7" numFmtId="0" xfId="0" applyAlignment="1" applyBorder="1" applyFont="1">
      <alignment readingOrder="0" vertical="top"/>
    </xf>
    <xf borderId="0" fillId="0" fontId="3" numFmtId="0" xfId="0" applyAlignment="1" applyFont="1">
      <alignment shrinkToFit="0" wrapText="1"/>
    </xf>
    <xf borderId="0" fillId="5" fontId="5" numFmtId="0" xfId="0" applyAlignment="1" applyFont="1">
      <alignment shrinkToFit="0" wrapText="1"/>
    </xf>
    <xf borderId="0" fillId="7" fontId="3" numFmtId="0" xfId="0" applyAlignment="1" applyFill="1" applyFont="1">
      <alignment readingOrder="0"/>
    </xf>
    <xf borderId="0" fillId="7" fontId="3" numFmtId="0" xfId="0" applyAlignment="1" applyFont="1">
      <alignment readingOrder="0" shrinkToFit="0" wrapText="1"/>
    </xf>
    <xf borderId="0" fillId="8" fontId="8" numFmtId="0" xfId="0" applyFill="1" applyFont="1"/>
    <xf borderId="0" fillId="3" fontId="3" numFmtId="10" xfId="0" applyFont="1" applyNumberFormat="1"/>
    <xf borderId="0" fillId="9" fontId="3" numFmtId="0" xfId="0" applyAlignment="1" applyFill="1" applyFont="1">
      <alignment readingOrder="0" shrinkToFit="0" wrapText="1"/>
    </xf>
    <xf borderId="0" fillId="4" fontId="3" numFmtId="0" xfId="0" applyFont="1"/>
    <xf borderId="0" fillId="10" fontId="3" numFmtId="0" xfId="0" applyAlignment="1" applyFill="1" applyFont="1">
      <alignment readingOrder="0"/>
    </xf>
    <xf borderId="0" fillId="10" fontId="3" numFmtId="0" xfId="0" applyFont="1"/>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5" fontId="5" numFmtId="4" xfId="0" applyAlignment="1" applyFont="1" applyNumberFormat="1">
      <alignment shrinkToFit="0" vertical="center" wrapText="0"/>
    </xf>
    <xf borderId="0" fillId="0" fontId="3" numFmtId="0" xfId="0" applyAlignment="1" applyFont="1">
      <alignment shrinkToFit="0" vertical="center" wrapText="0"/>
    </xf>
    <xf borderId="0" fillId="0" fontId="3" numFmtId="10" xfId="0" applyAlignment="1" applyFont="1" applyNumberFormat="1">
      <alignment shrinkToFit="0" vertical="center" wrapText="0"/>
    </xf>
    <xf borderId="0" fillId="0" fontId="3" numFmtId="0" xfId="0" applyAlignment="1" applyFont="1">
      <alignment readingOrder="0" shrinkToFit="0" vertical="center" wrapText="0"/>
    </xf>
    <xf borderId="0" fillId="5" fontId="5" numFmtId="4" xfId="0" applyAlignment="1" applyFont="1" applyNumberFormat="1">
      <alignment readingOrder="0" shrinkToFit="0" vertical="center" wrapText="0"/>
    </xf>
    <xf borderId="0" fillId="5" fontId="6" numFmtId="0" xfId="0" applyAlignment="1" applyFont="1">
      <alignment shrinkToFit="0" vertical="center" wrapText="0"/>
    </xf>
    <xf borderId="0" fillId="3"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9" numFmtId="0" xfId="0" applyAlignment="1" applyFont="1">
      <alignment vertical="bottom"/>
    </xf>
    <xf borderId="0" fillId="0" fontId="3" numFmtId="0" xfId="0" applyAlignment="1" applyFont="1">
      <alignment readingOrder="0"/>
    </xf>
    <xf borderId="0" fillId="11" fontId="3" numFmtId="168" xfId="0" applyAlignment="1" applyFill="1" applyFont="1" applyNumberFormat="1">
      <alignment readingOrder="0"/>
    </xf>
    <xf borderId="0" fillId="11" fontId="3" numFmtId="0" xfId="0" applyAlignment="1" applyFont="1">
      <alignment readingOrder="0"/>
    </xf>
    <xf borderId="0" fillId="11" fontId="3" numFmtId="0" xfId="0" applyFont="1"/>
    <xf borderId="0" fillId="0" fontId="3" numFmtId="169" xfId="0" applyAlignment="1" applyFont="1" applyNumberFormat="1">
      <alignment readingOrder="0"/>
    </xf>
    <xf borderId="0" fillId="0" fontId="3" numFmtId="0" xfId="0" applyAlignment="1" applyFont="1">
      <alignment horizontal="left" readingOrder="0" shrinkToFit="0" vertical="center" wrapText="0"/>
    </xf>
    <xf borderId="0" fillId="5" fontId="5" numFmtId="0" xfId="0" applyAlignment="1" applyFont="1">
      <alignment shrinkToFit="0" vertical="center" wrapText="0"/>
    </xf>
    <xf borderId="0" fillId="0" fontId="3" numFmtId="0" xfId="0" applyAlignment="1" applyFont="1">
      <alignment shrinkToFit="0" vertical="center" wrapText="0"/>
    </xf>
    <xf borderId="0" fillId="6" fontId="5" numFmtId="0" xfId="0" applyAlignment="1" applyFont="1">
      <alignment horizontal="left" shrinkToFit="0" vertical="center" wrapText="0"/>
    </xf>
    <xf borderId="0" fillId="5" fontId="5" numFmtId="0" xfId="0" applyAlignment="1" applyFont="1">
      <alignment readingOrder="0" shrinkToFit="0" vertical="center" wrapText="0"/>
    </xf>
    <xf borderId="0" fillId="5" fontId="5" numFmtId="0" xfId="0" applyAlignment="1" applyFont="1">
      <alignment readingOrder="0" shrinkToFit="0" vertical="center" wrapText="0"/>
    </xf>
    <xf borderId="0" fillId="0" fontId="3" numFmtId="170" xfId="0" applyAlignment="1" applyFont="1" applyNumberFormat="1">
      <alignment horizontal="left" readingOrder="0" shrinkToFit="0" vertical="center" wrapText="0"/>
    </xf>
    <xf borderId="0" fillId="5" fontId="10" numFmtId="0" xfId="0" applyAlignment="1" applyFont="1">
      <alignment shrinkToFit="0" vertical="center" wrapText="0"/>
    </xf>
    <xf borderId="0" fillId="5" fontId="10" numFmtId="0" xfId="0" applyAlignment="1" applyFont="1">
      <alignment horizontal="left" shrinkToFit="0" vertical="center" wrapText="0"/>
    </xf>
    <xf borderId="0" fillId="0" fontId="3" numFmtId="170" xfId="0" applyAlignment="1" applyFont="1" applyNumberFormat="1">
      <alignment shrinkToFit="0" vertical="center" wrapText="0"/>
    </xf>
    <xf borderId="0" fillId="0" fontId="3" numFmtId="170" xfId="0" applyFont="1" applyNumberFormat="1"/>
    <xf borderId="0" fillId="0" fontId="3" numFmtId="4" xfId="0" applyAlignment="1" applyFont="1" applyNumberFormat="1">
      <alignment horizontal="left" readingOrder="0" shrinkToFit="0" vertical="center" wrapText="0"/>
    </xf>
    <xf borderId="0" fillId="0" fontId="3" numFmtId="10" xfId="0" applyAlignment="1" applyFont="1" applyNumberFormat="1">
      <alignment horizontal="left" readingOrder="0" shrinkToFit="0" vertical="center" wrapText="0"/>
    </xf>
    <xf borderId="0" fillId="7" fontId="1" numFmtId="0" xfId="0" applyAlignment="1" applyFont="1">
      <alignment readingOrder="0"/>
    </xf>
    <xf borderId="0" fillId="7" fontId="1" numFmtId="10" xfId="0" applyAlignment="1" applyFont="1" applyNumberFormat="1">
      <alignment readingOrder="0"/>
    </xf>
    <xf borderId="0" fillId="12" fontId="3" numFmtId="0" xfId="0" applyAlignment="1" applyFill="1" applyFont="1">
      <alignment readingOrder="0" shrinkToFit="0" vertical="center" wrapText="0"/>
    </xf>
    <xf borderId="0" fillId="0" fontId="3" numFmtId="171" xfId="0" applyAlignment="1" applyFont="1" applyNumberFormat="1">
      <alignment shrinkToFit="0" vertical="center" wrapText="0"/>
    </xf>
    <xf borderId="0" fillId="5" fontId="6" numFmtId="10" xfId="0" applyAlignment="1" applyFont="1" applyNumberFormat="1">
      <alignment horizontal="left" readingOrder="0" shrinkToFit="0" vertical="center" wrapText="0"/>
    </xf>
    <xf borderId="0" fillId="5" fontId="5" numFmtId="0" xfId="0" applyAlignment="1" applyFont="1">
      <alignment horizontal="left" shrinkToFit="0" vertical="center" wrapText="0"/>
    </xf>
    <xf borderId="0" fillId="5" fontId="11" numFmtId="0" xfId="0" applyAlignment="1" applyFont="1">
      <alignment horizontal="left" readingOrder="0" shrinkToFit="0" vertical="center" wrapText="0"/>
    </xf>
    <xf borderId="0" fillId="13" fontId="3" numFmtId="0" xfId="0" applyAlignment="1" applyFill="1" applyFont="1">
      <alignment readingOrder="0" shrinkToFit="0" vertical="center"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9" numFmtId="0" xfId="0" applyAlignment="1" applyFont="1">
      <alignment horizontal="right" shrinkToFit="0" vertical="bottom" wrapText="0"/>
    </xf>
    <xf borderId="0" fillId="5" fontId="12" numFmtId="4" xfId="0" applyAlignment="1" applyFont="1" applyNumberFormat="1">
      <alignment horizontal="right" shrinkToFit="0" vertical="bottom" wrapText="0"/>
    </xf>
    <xf borderId="0" fillId="0" fontId="9" numFmtId="171" xfId="0" applyAlignment="1" applyFont="1" applyNumberFormat="1">
      <alignment shrinkToFit="0" vertical="bottom" wrapText="0"/>
    </xf>
    <xf borderId="0" fillId="5" fontId="6" numFmtId="10" xfId="0" applyAlignment="1" applyFont="1" applyNumberFormat="1">
      <alignment shrinkToFit="0" vertical="bottom" wrapText="0"/>
    </xf>
    <xf borderId="0" fillId="0" fontId="9" numFmtId="10" xfId="0" applyAlignment="1" applyFont="1" applyNumberFormat="1">
      <alignment horizontal="right" shrinkToFit="0" vertical="bottom" wrapText="0"/>
    </xf>
    <xf borderId="0" fillId="5" fontId="12" numFmtId="0" xfId="0" applyAlignment="1" applyFont="1">
      <alignment shrinkToFit="0" vertical="bottom" wrapText="0"/>
    </xf>
    <xf borderId="0" fillId="5" fontId="11" numFmtId="0" xfId="0" applyAlignment="1" applyFont="1">
      <alignment shrinkToFit="0" vertical="bottom" wrapText="0"/>
    </xf>
    <xf borderId="0" fillId="0" fontId="9" numFmtId="0" xfId="0" applyAlignment="1" applyFont="1">
      <alignment horizontal="center" shrinkToFit="0" vertical="bottom" wrapText="0"/>
    </xf>
    <xf borderId="0" fillId="14" fontId="1" numFmtId="10" xfId="0" applyFill="1" applyFont="1" applyNumberFormat="1"/>
    <xf borderId="0" fillId="0" fontId="9" numFmtId="0" xfId="0" applyAlignment="1" applyFont="1">
      <alignment shrinkToFit="0" vertical="bottom" wrapText="0"/>
    </xf>
    <xf borderId="0" fillId="0" fontId="9" numFmtId="171" xfId="0" applyAlignment="1" applyFont="1" applyNumberFormat="1">
      <alignment horizontal="right" shrinkToFit="0" vertical="bottom" wrapText="0"/>
    </xf>
    <xf borderId="0" fillId="7" fontId="3" numFmtId="0" xfId="0" applyAlignment="1" applyFont="1">
      <alignment readingOrder="0" shrinkToFit="0" vertical="center" wrapText="0"/>
    </xf>
    <xf borderId="0" fillId="0" fontId="3" numFmtId="171" xfId="0" applyAlignment="1" applyFont="1" applyNumberFormat="1">
      <alignment readingOrder="0" shrinkToFit="0" vertical="center" wrapText="0"/>
    </xf>
    <xf borderId="0" fillId="15" fontId="3" numFmtId="0" xfId="0" applyAlignment="1" applyFill="1" applyFont="1">
      <alignment readingOrder="0" shrinkToFit="0" vertical="center" wrapText="0"/>
    </xf>
    <xf borderId="0" fillId="16" fontId="3" numFmtId="0" xfId="0" applyAlignment="1" applyFill="1" applyFont="1">
      <alignment shrinkToFit="0" vertical="center" wrapText="0"/>
    </xf>
    <xf borderId="0" fillId="0" fontId="3" numFmtId="0" xfId="0" applyAlignment="1" applyFont="1">
      <alignment shrinkToFit="0" vertical="center" wrapText="0"/>
    </xf>
    <xf borderId="0" fillId="14" fontId="3" numFmtId="0" xfId="0" applyAlignment="1" applyFont="1">
      <alignment readingOrder="0" shrinkToFit="0" vertical="center" wrapText="0"/>
    </xf>
    <xf borderId="0" fillId="0" fontId="3" numFmtId="171" xfId="0" applyAlignment="1" applyFont="1" applyNumberFormat="1">
      <alignment readingOrder="0" shrinkToFit="0" vertical="center" wrapText="0"/>
    </xf>
    <xf borderId="0" fillId="5" fontId="5" numFmtId="4" xfId="0" applyAlignment="1" applyFont="1" applyNumberFormat="1">
      <alignment shrinkToFit="0" vertical="center" wrapText="0"/>
    </xf>
    <xf borderId="0" fillId="16" fontId="3" numFmtId="0" xfId="0" applyAlignment="1" applyFont="1">
      <alignment shrinkToFit="0" vertical="center" wrapText="0"/>
    </xf>
    <xf borderId="0" fillId="0" fontId="3" numFmtId="10" xfId="0" applyAlignment="1" applyFont="1" applyNumberFormat="1">
      <alignment shrinkToFit="0" vertical="center" wrapText="0"/>
    </xf>
    <xf borderId="0" fillId="5" fontId="5" numFmtId="0" xfId="0" applyAlignment="1" applyFont="1">
      <alignment horizontal="left" shrinkToFit="0" vertical="center" wrapText="0"/>
    </xf>
    <xf borderId="0" fillId="5" fontId="10" numFmtId="0" xfId="0" applyAlignment="1" applyFont="1">
      <alignment shrinkToFit="0" vertical="center" wrapText="0"/>
    </xf>
    <xf borderId="0" fillId="0" fontId="3" numFmtId="172" xfId="0" applyAlignment="1" applyFont="1" applyNumberFormat="1">
      <alignment readingOrder="0"/>
    </xf>
    <xf borderId="0" fillId="0" fontId="1" numFmtId="0" xfId="0" applyAlignment="1" applyFont="1">
      <alignment readingOrder="0"/>
    </xf>
    <xf borderId="0" fillId="5" fontId="5" numFmtId="0" xfId="0" applyAlignment="1" applyFont="1">
      <alignment shrinkToFit="0" vertical="center" wrapText="0"/>
    </xf>
    <xf borderId="0" fillId="0" fontId="13" numFmtId="0" xfId="0" applyAlignment="1" applyFont="1">
      <alignment readingOrder="0"/>
    </xf>
    <xf borderId="0" fillId="14" fontId="3" numFmtId="0" xfId="0" applyAlignment="1" applyFont="1">
      <alignment readingOrder="0"/>
    </xf>
    <xf borderId="0" fillId="17" fontId="3" numFmtId="10" xfId="0" applyFill="1" applyFont="1" applyNumberFormat="1"/>
    <xf borderId="0" fillId="18" fontId="3" numFmtId="0" xfId="0" applyAlignment="1" applyFill="1" applyFont="1">
      <alignment readingOrder="0"/>
    </xf>
    <xf borderId="0" fillId="18" fontId="3" numFmtId="0" xfId="0" applyFont="1"/>
    <xf borderId="0" fillId="18" fontId="3" numFmtId="10" xfId="0" applyAlignment="1" applyFont="1" applyNumberFormat="1">
      <alignment readingOrder="0"/>
    </xf>
    <xf borderId="0" fillId="0" fontId="3" numFmtId="4" xfId="0" applyFont="1" applyNumberFormat="1"/>
    <xf borderId="0" fillId="0" fontId="3" numFmtId="4" xfId="0" applyAlignment="1" applyFont="1" applyNumberFormat="1">
      <alignment readingOrder="0"/>
    </xf>
    <xf borderId="2" fillId="2" fontId="3" numFmtId="0" xfId="0" applyBorder="1" applyFont="1"/>
    <xf borderId="2" fillId="15" fontId="3" numFmtId="0" xfId="0" applyBorder="1" applyFont="1"/>
    <xf borderId="2" fillId="15" fontId="3" numFmtId="0" xfId="0" applyAlignment="1" applyBorder="1" applyFont="1">
      <alignment readingOrder="0"/>
    </xf>
    <xf borderId="2" fillId="12" fontId="3" numFmtId="0" xfId="0" applyAlignment="1" applyBorder="1" applyFont="1">
      <alignment readingOrder="0"/>
    </xf>
    <xf borderId="2" fillId="19" fontId="3" numFmtId="0" xfId="0" applyAlignment="1" applyBorder="1" applyFill="1" applyFont="1">
      <alignment readingOrder="0"/>
    </xf>
    <xf borderId="2" fillId="5" fontId="3" numFmtId="0" xfId="0" applyAlignment="1" applyBorder="1" applyFont="1">
      <alignment readingOrder="0"/>
    </xf>
    <xf borderId="2" fillId="9" fontId="3" numFmtId="0" xfId="0" applyAlignment="1" applyBorder="1" applyFont="1">
      <alignment readingOrder="0"/>
    </xf>
    <xf borderId="2" fillId="5" fontId="5" numFmtId="0" xfId="0" applyBorder="1" applyFont="1"/>
    <xf borderId="0" fillId="10" fontId="13" numFmtId="4" xfId="0" applyAlignment="1" applyFont="1" applyNumberFormat="1">
      <alignment readingOrder="0"/>
    </xf>
    <xf borderId="0" fillId="10" fontId="13" numFmtId="0" xfId="0" applyAlignment="1" applyFont="1">
      <alignment readingOrder="0"/>
    </xf>
    <xf borderId="0" fillId="10" fontId="13" numFmtId="0" xfId="0" applyFont="1"/>
    <xf borderId="2" fillId="20" fontId="14" numFmtId="0" xfId="0" applyAlignment="1" applyBorder="1" applyFill="1" applyFont="1">
      <alignment readingOrder="0" vertical="top"/>
    </xf>
    <xf borderId="0" fillId="21" fontId="3" numFmtId="0" xfId="0" applyAlignment="1" applyFill="1" applyFont="1">
      <alignment readingOrder="0"/>
    </xf>
    <xf borderId="2" fillId="22" fontId="14" numFmtId="0" xfId="0" applyAlignment="1" applyBorder="1" applyFill="1" applyFont="1">
      <alignment readingOrder="0" vertical="top"/>
    </xf>
    <xf borderId="0" fillId="5" fontId="15" numFmtId="0" xfId="0" applyAlignment="1" applyFont="1">
      <alignment readingOrder="0"/>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F8F9FA"/>
          <bgColor rgb="FFF8F9FA"/>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93C47D"/>
          <bgColor rgb="FF93C47D"/>
        </patternFill>
      </fill>
      <border/>
    </dxf>
    <dxf>
      <font/>
      <fill>
        <patternFill patternType="solid">
          <fgColor rgb="FF6AA84F"/>
          <bgColor rgb="FF6AA84F"/>
        </patternFill>
      </fill>
      <border/>
    </dxf>
    <dxf>
      <font>
        <color rgb="FF000000"/>
      </font>
      <fill>
        <patternFill patternType="solid">
          <fgColor rgb="FFFFE599"/>
          <bgColor rgb="FFFFE599"/>
        </patternFill>
      </fill>
      <border/>
    </dxf>
    <dxf>
      <font/>
      <fill>
        <patternFill patternType="solid">
          <fgColor rgb="FFF4C7C3"/>
          <bgColor rgb="FFF4C7C3"/>
        </patternFill>
      </fill>
      <border/>
    </dxf>
  </dxfs>
  <tableStyles count="7">
    <tableStyle count="4" pivot="0" name="Finding right quantity-style">
      <tableStyleElement dxfId="1" type="headerRow"/>
      <tableStyleElement dxfId="2" type="firstRowStripe"/>
      <tableStyleElement dxfId="3" type="secondRowStripe"/>
      <tableStyleElement dxfId="4" size="0" type="wholeTable"/>
    </tableStyle>
    <tableStyle count="4" pivot="0" name="Tracker-style">
      <tableStyleElement dxfId="1" type="headerRow"/>
      <tableStyleElement dxfId="2" type="firstRowStripe"/>
      <tableStyleElement dxfId="3" type="secondRowStripe"/>
      <tableStyleElement dxfId="4" size="0" type="wholeTable"/>
    </tableStyle>
    <tableStyle count="4" pivot="0" name="Compare with the best-style">
      <tableStyleElement dxfId="1" type="headerRow"/>
      <tableStyleElement dxfId="2" type="firstRowStripe"/>
      <tableStyleElement dxfId="3" type="secondRowStripe"/>
      <tableStyleElement dxfId="4" size="0" type="wholeTable"/>
    </tableStyle>
    <tableStyle count="4" pivot="0" name="HUF-style">
      <tableStyleElement dxfId="1" type="headerRow"/>
      <tableStyleElement dxfId="2" type="firstRowStripe"/>
      <tableStyleElement dxfId="7" type="secondRowStripe"/>
      <tableStyleElement dxfId="4" size="0" type="wholeTable"/>
    </tableStyle>
    <tableStyle count="4" pivot="0" name="manjari-style">
      <tableStyleElement dxfId="1" type="headerRow"/>
      <tableStyleElement dxfId="2" type="firstRowStripe"/>
      <tableStyleElement dxfId="7" type="secondRowStripe"/>
      <tableStyleElement dxfId="4" size="0" type="wholeTable"/>
    </tableStyle>
    <tableStyle count="4" pivot="0" name="MANJBHAWNA-style">
      <tableStyleElement dxfId="1" type="headerRow"/>
      <tableStyleElement dxfId="2" type="firstRowStripe"/>
      <tableStyleElement dxfId="7" type="secondRowStripe"/>
      <tableStyleElement dxfId="4" size="0" type="wholeTable"/>
    </tableStyle>
    <tableStyle count="4" pivot="0" name="consolidated-style">
      <tableStyleElement dxfId="1"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'Compare with the best'!$I$7:$I$9</c:f>
            </c:strRef>
          </c:cat>
          <c:val>
            <c:numRef>
              <c:f>'Compare with the best'!$J$7:$J$9</c:f>
              <c:numCache/>
            </c:numRef>
          </c:val>
        </c:ser>
        <c:axId val="2109110935"/>
        <c:axId val="1233271372"/>
      </c:barChart>
      <c:catAx>
        <c:axId val="2109110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3271372"/>
      </c:catAx>
      <c:valAx>
        <c:axId val="1233271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9110935"/>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885825</xdr:colOff>
      <xdr:row>10</xdr:row>
      <xdr:rowOff>133350</xdr:rowOff>
    </xdr:from>
    <xdr:ext cx="4095750"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9" displayName="Table2" name="Table2" id="1">
  <tableColumns count="5">
    <tableColumn name="Stock Name" id="1"/>
    <tableColumn name="Code" id="2"/>
    <tableColumn name="CMP" id="3"/>
    <tableColumn name="Allocation" id="4"/>
    <tableColumn name="Quantity" id="5"/>
  </tableColumns>
  <tableStyleInfo name="Finding right quantity-style" showColumnStripes="0" showFirstColumn="1" showLastColumn="1" showRowStripes="1"/>
</table>
</file>

<file path=xl/tables/table2.xml><?xml version="1.0" encoding="utf-8"?>
<table xmlns="http://schemas.openxmlformats.org/spreadsheetml/2006/main" ref="A2:N28" displayName="Table1" name="Table1" id="2">
  <tableColumns count="14">
    <tableColumn name="Stock Name" id="1"/>
    <tableColumn name="Code" id="2"/>
    <tableColumn name="Buy Price" id="3"/>
    <tableColumn name="Quantity" id="4"/>
    <tableColumn name="Investment " id="5"/>
    <tableColumn name="CMP" id="6"/>
    <tableColumn name="Change today" id="7"/>
    <tableColumn name="Change today%" id="8"/>
    <tableColumn name="Current value" id="9"/>
    <tableColumn name="Gain/loss" id="10"/>
    <tableColumn name="Gain/loss %" id="11"/>
    <tableColumn name="Allocation (current)" id="12"/>
    <tableColumn name="Allocation(Cost basis)" id="13"/>
    <tableColumn name="Note" id="14"/>
  </tableColumns>
  <tableStyleInfo name="Tracker-style" showColumnStripes="0" showFirstColumn="1" showLastColumn="1" showRowStripes="1"/>
</table>
</file>

<file path=xl/tables/table3.xml><?xml version="1.0" encoding="utf-8"?>
<table xmlns="http://schemas.openxmlformats.org/spreadsheetml/2006/main" ref="B4:F7" displayName="Table3" name="Table3" id="3">
  <tableColumns count="5">
    <tableColumn name="Portfolio name" id="1"/>
    <tableColumn name="Code" id="2"/>
    <tableColumn name="NAV at the start date" id="3"/>
    <tableColumn name="Current NAV" id="4"/>
    <tableColumn name="Returns %" id="5"/>
  </tableColumns>
  <tableStyleInfo name="Compare with the best-style" showColumnStripes="0" showFirstColumn="1" showLastColumn="1" showRowStripes="1"/>
</table>
</file>

<file path=xl/tables/table4.xml><?xml version="1.0" encoding="utf-8"?>
<table xmlns="http://schemas.openxmlformats.org/spreadsheetml/2006/main" ref="A1:J26" displayName="Table2_2" name="Table2_2" id="4">
  <tableColumns count="10">
    <tableColumn name="Column 1" id="1"/>
    <tableColumn name="Average Buying price" id="2"/>
    <tableColumn name="quantity" id="3"/>
    <tableColumn name="CMP" id="4"/>
    <tableColumn name="Investment" id="5"/>
    <tableColumn name="Current value" id="6"/>
    <tableColumn name="change today" id="7"/>
    <tableColumn name="Over all change" id="8"/>
    <tableColumn name="Allocation" id="9"/>
    <tableColumn name="Column 1 2" id="10"/>
  </tableColumns>
  <tableStyleInfo name="HUF-style" showColumnStripes="0" showFirstColumn="1" showLastColumn="1" showRowStripes="1"/>
</table>
</file>

<file path=xl/tables/table5.xml><?xml version="1.0" encoding="utf-8"?>
<table xmlns="http://schemas.openxmlformats.org/spreadsheetml/2006/main" ref="A1:K24" displayName="Table1_2" name="Table1_2" id="5">
  <tableColumns count="11">
    <tableColumn name="\" id="1"/>
    <tableColumn name="Stock tikr" id="2"/>
    <tableColumn name="Average Buying price" id="3"/>
    <tableColumn name="quantity" id="4"/>
    <tableColumn name="CMP" id="5"/>
    <tableColumn name="Investment" id="6"/>
    <tableColumn name="Current value" id="7"/>
    <tableColumn name="change today" id="8"/>
    <tableColumn name="Over all change" id="9"/>
    <tableColumn name="Allocation" id="10"/>
    <tableColumn name="Column 1" id="11"/>
  </tableColumns>
  <tableStyleInfo name="manjari-style" showColumnStripes="0" showFirstColumn="1" showLastColumn="1" showRowStripes="1"/>
</table>
</file>

<file path=xl/tables/table6.xml><?xml version="1.0" encoding="utf-8"?>
<table xmlns="http://schemas.openxmlformats.org/spreadsheetml/2006/main" ref="A1:J8" displayName="Table3_2" name="Table3_2" id="6">
  <tableColumns count="10">
    <tableColumn name="Stock tikr" id="1"/>
    <tableColumn name="Average Buying price" id="2"/>
    <tableColumn name="quantity" id="3"/>
    <tableColumn name="CMP" id="4"/>
    <tableColumn name="Investment" id="5"/>
    <tableColumn name="Current value" id="6"/>
    <tableColumn name="change today" id="7"/>
    <tableColumn name="Over all change" id="8"/>
    <tableColumn name="Allocation" id="9"/>
    <tableColumn name="Column 1" id="10"/>
  </tableColumns>
  <tableStyleInfo name="MANJBHAWNA-style" showColumnStripes="0" showFirstColumn="1" showLastColumn="1" showRowStripes="1"/>
</table>
</file>

<file path=xl/tables/table7.xml><?xml version="1.0" encoding="utf-8"?>
<table xmlns="http://schemas.openxmlformats.org/spreadsheetml/2006/main" ref="A1:Q26" displayName="Table4" name="Table4" id="7">
  <tableColumns count="17">
    <tableColumn name="Stock tikr" id="1"/>
    <tableColumn name="Stock tikr 2" id="2"/>
    <tableColumn name="Average Buying price" id="3"/>
    <tableColumn name="quantity" id="4"/>
    <tableColumn name="CMP" id="5"/>
    <tableColumn name="MARKET CAP" id="6"/>
    <tableColumn name="Invested Amount" id="7"/>
    <tableColumn name="Current Value" id="8"/>
    <tableColumn name="Date of Buy" id="9"/>
    <tableColumn name="Profit " id="10"/>
    <tableColumn name="Allocation %" id="11"/>
    <tableColumn name="Allocation % 2" id="12"/>
    <tableColumn name="PE" id="13"/>
    <tableColumn name="Allowed drawdown" id="14"/>
    <tableColumn name="Allowed Price" id="15"/>
    <tableColumn name="Max Price" id="16"/>
    <tableColumn name="Column 17" id="17"/>
  </tableColumns>
  <tableStyleInfo name="consolidat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6.75"/>
    <col customWidth="1" min="4" max="4" width="16.38"/>
  </cols>
  <sheetData>
    <row r="2" ht="22.5" customHeight="1">
      <c r="A2" s="1" t="s">
        <v>0</v>
      </c>
      <c r="B2" s="1" t="s">
        <v>1</v>
      </c>
      <c r="C2" s="1" t="s">
        <v>2</v>
      </c>
      <c r="D2" s="1" t="s">
        <v>3</v>
      </c>
      <c r="E2" s="1" t="s">
        <v>4</v>
      </c>
      <c r="H2" s="2" t="s">
        <v>5</v>
      </c>
      <c r="I2" s="2" t="s">
        <v>6</v>
      </c>
    </row>
    <row r="3" ht="22.5" customHeight="1">
      <c r="A3" s="3" t="s">
        <v>7</v>
      </c>
      <c r="B3" s="3" t="s">
        <v>8</v>
      </c>
      <c r="C3" s="4">
        <f>IFERROR(__xludf.DUMMYFUNCTION("GOOGLEFINANCE(B3)"),593.3)</f>
        <v>593.3</v>
      </c>
      <c r="D3" s="5">
        <f t="shared" ref="D3:D7" si="1">1/6</f>
        <v>0.1666666667</v>
      </c>
      <c r="E3" s="4" t="str">
        <f t="shared" ref="E3:E4" si="2">ROUND(($H$3*D3)/C3,0)</f>
        <v>#VALUE!</v>
      </c>
      <c r="H3" s="6" t="s">
        <v>9</v>
      </c>
      <c r="I3" s="7" t="str">
        <f>SUMPRODUCT(E3:E9,C3:C9)</f>
        <v>#VALUE!</v>
      </c>
    </row>
    <row r="4" ht="22.5" customHeight="1">
      <c r="A4" s="3" t="s">
        <v>10</v>
      </c>
      <c r="B4" s="3" t="s">
        <v>11</v>
      </c>
      <c r="C4" s="4">
        <f>IFERROR(__xludf.DUMMYFUNCTION("GOOGLEFINANCE(B4)"),274.1)</f>
        <v>274.1</v>
      </c>
      <c r="D4" s="5">
        <f t="shared" si="1"/>
        <v>0.1666666667</v>
      </c>
      <c r="E4" s="4" t="str">
        <f t="shared" si="2"/>
        <v>#VALUE!</v>
      </c>
    </row>
    <row r="5" ht="22.5" customHeight="1">
      <c r="A5" s="3" t="s">
        <v>12</v>
      </c>
      <c r="B5" s="3" t="s">
        <v>13</v>
      </c>
      <c r="C5" s="4">
        <f>IFERROR(__xludf.DUMMYFUNCTION("GOOGLEFINANCE(B5)"),158.58)</f>
        <v>158.58</v>
      </c>
      <c r="D5" s="5">
        <f t="shared" si="1"/>
        <v>0.1666666667</v>
      </c>
      <c r="E5" s="3">
        <v>408.0</v>
      </c>
    </row>
    <row r="6" ht="22.5" customHeight="1">
      <c r="A6" s="3" t="s">
        <v>14</v>
      </c>
      <c r="B6" s="3" t="s">
        <v>15</v>
      </c>
      <c r="C6" s="4">
        <f>IFERROR(__xludf.DUMMYFUNCTION("GOOGLEFINANCE(B6)"),1820.0)</f>
        <v>1820</v>
      </c>
      <c r="D6" s="5">
        <f t="shared" si="1"/>
        <v>0.1666666667</v>
      </c>
      <c r="E6" s="4" t="str">
        <f t="shared" ref="E6:E8" si="3">ROUND(($H$3*D6)/C6,0)</f>
        <v>#VALUE!</v>
      </c>
    </row>
    <row r="7" ht="22.5" customHeight="1">
      <c r="A7" s="3" t="s">
        <v>16</v>
      </c>
      <c r="B7" s="3" t="s">
        <v>17</v>
      </c>
      <c r="C7" s="4">
        <f>IFERROR(__xludf.DUMMYFUNCTION("GOOGLEFINANCE(B7)"),1227.9)</f>
        <v>1227.9</v>
      </c>
      <c r="D7" s="5">
        <f t="shared" si="1"/>
        <v>0.1666666667</v>
      </c>
      <c r="E7" s="4" t="str">
        <f t="shared" si="3"/>
        <v>#VALUE!</v>
      </c>
    </row>
    <row r="8" ht="22.5" customHeight="1">
      <c r="A8" s="3" t="s">
        <v>18</v>
      </c>
      <c r="B8" s="3" t="s">
        <v>8</v>
      </c>
      <c r="C8" s="4">
        <f>IFERROR(__xludf.DUMMYFUNCTION("GOOGLEFINANCE(B8)"),593.3)</f>
        <v>593.3</v>
      </c>
      <c r="D8" s="5">
        <v>0.08</v>
      </c>
      <c r="E8" s="4" t="str">
        <f t="shared" si="3"/>
        <v>#VALUE!</v>
      </c>
    </row>
    <row r="9" ht="22.5" customHeight="1">
      <c r="A9" s="3" t="s">
        <v>19</v>
      </c>
      <c r="B9" s="3" t="s">
        <v>20</v>
      </c>
      <c r="C9" s="4" t="str">
        <f>IFERROR(__xludf.DUMMYFUNCTION("GOOGLEFINANCE(B9)"),"#N/A")</f>
        <v>#N/A</v>
      </c>
      <c r="D9" s="5">
        <f>1/6</f>
        <v>0.1666666667</v>
      </c>
      <c r="E9" s="3">
        <v>124.0</v>
      </c>
    </row>
    <row r="13">
      <c r="A13" s="8" t="s">
        <v>21</v>
      </c>
    </row>
    <row r="14">
      <c r="A14" s="8" t="s">
        <v>22</v>
      </c>
      <c r="B14" s="8" t="s">
        <v>23</v>
      </c>
    </row>
    <row r="15">
      <c r="A15" s="8" t="s">
        <v>24</v>
      </c>
      <c r="B15" s="8" t="s">
        <v>25</v>
      </c>
    </row>
    <row r="1001">
      <c r="D1001" s="9"/>
    </row>
  </sheetData>
  <dataValidations>
    <dataValidation type="custom" allowBlank="1" showDropDown="1" sqref="D3:D9">
      <formula1>AND(ISNUMBER(D3),(NOT(OR(NOT(ISERROR(DATEVALUE(D3))), AND(ISNUMBER(D3), LEFT(CELL("format", D3))="D")))))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17.75"/>
    <col customWidth="1" min="3" max="3" width="16.75"/>
    <col customWidth="1" min="5" max="5" width="18.0"/>
    <col customWidth="1" min="6" max="6" width="14.38"/>
    <col customWidth="1" min="8" max="8" width="15.75"/>
    <col customWidth="1" min="9" max="9" width="17.0"/>
    <col customWidth="1" min="10" max="10" width="15.5"/>
    <col customWidth="1" min="12" max="12" width="23.38"/>
    <col customWidth="1" min="13" max="13" width="25.38"/>
    <col customWidth="1" min="14" max="14" width="22.13"/>
  </cols>
  <sheetData>
    <row r="1">
      <c r="L1" s="10"/>
      <c r="M1" s="10"/>
    </row>
    <row r="2" ht="22.5" customHeight="1">
      <c r="A2" s="1" t="s">
        <v>0</v>
      </c>
      <c r="B2" s="1" t="s">
        <v>1</v>
      </c>
      <c r="C2" s="1" t="s">
        <v>26</v>
      </c>
      <c r="D2" s="1" t="s">
        <v>4</v>
      </c>
      <c r="E2" s="1" t="s">
        <v>27</v>
      </c>
      <c r="F2" s="1" t="s">
        <v>2</v>
      </c>
      <c r="G2" s="1" t="s">
        <v>28</v>
      </c>
      <c r="H2" s="1" t="s">
        <v>29</v>
      </c>
      <c r="I2" s="1" t="s">
        <v>30</v>
      </c>
      <c r="J2" s="1" t="s">
        <v>31</v>
      </c>
      <c r="K2" s="1" t="s">
        <v>32</v>
      </c>
      <c r="L2" s="1" t="s">
        <v>33</v>
      </c>
      <c r="M2" s="1" t="s">
        <v>34</v>
      </c>
      <c r="N2" s="1" t="s">
        <v>35</v>
      </c>
    </row>
    <row r="3" ht="22.5" customHeight="1">
      <c r="A3" s="11" t="str">
        <f>consolidated!A2</f>
        <v>neuland</v>
      </c>
      <c r="B3" s="11" t="str">
        <f>consolidated!B2</f>
        <v>NSE:NEULANDLAB</v>
      </c>
      <c r="C3" s="11">
        <f>consolidated!C2</f>
        <v>2699.565217</v>
      </c>
      <c r="D3" s="12">
        <f>consolidated!D2</f>
        <v>230</v>
      </c>
      <c r="E3" s="13">
        <f t="shared" ref="E3:E26" si="1">C3*D3</f>
        <v>620900</v>
      </c>
      <c r="F3" s="14">
        <f>IFERROR(__xludf.DUMMYFUNCTION("GOOGLEFINANCE(B3)"),17750.0)</f>
        <v>17750</v>
      </c>
      <c r="G3" s="14">
        <f>IFERROR(__xludf.DUMMYFUNCTION("GOOGLEFINANCE(B3,""change"")"),465.0)</f>
        <v>465</v>
      </c>
      <c r="H3" s="14">
        <f>IFERROR(__xludf.DUMMYFUNCTION("GOOGLEFINANCE(B3,""changepct"")"),2.69)</f>
        <v>2.69</v>
      </c>
      <c r="I3" s="14">
        <f t="shared" ref="I3:I26" si="2">F3*D3</f>
        <v>4082500</v>
      </c>
      <c r="J3" s="14">
        <f t="shared" ref="J3:J26" si="3">I3-E3</f>
        <v>3461600</v>
      </c>
      <c r="K3" s="15">
        <f t="shared" ref="K3:K26" si="4">J3/E3</f>
        <v>5.575132872</v>
      </c>
      <c r="L3" s="15" t="str">
        <f t="shared" ref="L3:L26" si="5">I3/$C$35</f>
        <v>#REF!</v>
      </c>
      <c r="M3" s="15" t="str">
        <f t="shared" ref="M3:M7" si="6">E3/$C$33</f>
        <v>#REF!</v>
      </c>
      <c r="N3" s="13" t="s">
        <v>36</v>
      </c>
    </row>
    <row r="4" ht="22.5" customHeight="1">
      <c r="A4" s="11" t="str">
        <f>consolidated!A3</f>
        <v>nh(6.1)</v>
      </c>
      <c r="B4" s="11" t="str">
        <f>consolidated!B3</f>
        <v>NSE:NH</v>
      </c>
      <c r="C4" s="11">
        <f>consolidated!C3</f>
        <v>765.0796891</v>
      </c>
      <c r="D4" s="11">
        <f>consolidated!D3</f>
        <v>1846</v>
      </c>
      <c r="E4" s="13">
        <f t="shared" si="1"/>
        <v>1412337.106</v>
      </c>
      <c r="F4" s="14">
        <f>IFERROR(__xludf.DUMMYFUNCTION("GOOGLEFINANCE(B4)"),1820.0)</f>
        <v>1820</v>
      </c>
      <c r="G4" s="14">
        <f>IFERROR(__xludf.DUMMYFUNCTION("GOOGLEFINANCE(B4,""change"")"),-36.2)</f>
        <v>-36.2</v>
      </c>
      <c r="H4" s="14">
        <f>IFERROR(__xludf.DUMMYFUNCTION("GOOGLEFINANCE(B4,""changepct"")"),-1.95)</f>
        <v>-1.95</v>
      </c>
      <c r="I4" s="14">
        <f t="shared" si="2"/>
        <v>3359720</v>
      </c>
      <c r="J4" s="14">
        <f t="shared" si="3"/>
        <v>1947382.894</v>
      </c>
      <c r="K4" s="15">
        <f t="shared" si="4"/>
        <v>1.378837167</v>
      </c>
      <c r="L4" s="15" t="str">
        <f t="shared" si="5"/>
        <v>#REF!</v>
      </c>
      <c r="M4" s="15" t="str">
        <f t="shared" si="6"/>
        <v>#REF!</v>
      </c>
      <c r="N4" s="13" t="s">
        <v>36</v>
      </c>
    </row>
    <row r="5" ht="22.5" customHeight="1">
      <c r="A5" s="11" t="str">
        <f>consolidated!A4</f>
        <v>SAMHI(5.8)</v>
      </c>
      <c r="B5" s="11" t="str">
        <f>consolidated!B4</f>
        <v>NSE:SAMHI</v>
      </c>
      <c r="C5" s="11">
        <f>consolidated!C4</f>
        <v>186.0757182</v>
      </c>
      <c r="D5" s="12">
        <f>consolidated!D4</f>
        <v>5341</v>
      </c>
      <c r="E5" s="13">
        <f t="shared" si="1"/>
        <v>993830.411</v>
      </c>
      <c r="F5" s="14">
        <f>IFERROR(__xludf.DUMMYFUNCTION("GOOGLEFINANCE(B5)"),158.58)</f>
        <v>158.58</v>
      </c>
      <c r="G5" s="14">
        <f>IFERROR(__xludf.DUMMYFUNCTION("GOOGLEFINANCE(B5,""change"")"),0.22)</f>
        <v>0.22</v>
      </c>
      <c r="H5" s="14">
        <f>IFERROR(__xludf.DUMMYFUNCTION("GOOGLEFINANCE(B5,""changepct"")"),0.14)</f>
        <v>0.14</v>
      </c>
      <c r="I5" s="14">
        <f t="shared" si="2"/>
        <v>846975.78</v>
      </c>
      <c r="J5" s="14">
        <f t="shared" si="3"/>
        <v>-146854.631</v>
      </c>
      <c r="K5" s="15">
        <f t="shared" si="4"/>
        <v>-0.1477662883</v>
      </c>
      <c r="L5" s="15" t="str">
        <f t="shared" si="5"/>
        <v>#REF!</v>
      </c>
      <c r="M5" s="15" t="str">
        <f t="shared" si="6"/>
        <v>#REF!</v>
      </c>
      <c r="N5" s="13" t="s">
        <v>36</v>
      </c>
    </row>
    <row r="6" ht="22.5" customHeight="1">
      <c r="A6" s="11" t="str">
        <f t="shared" ref="A6:D6" si="7">#REF!</f>
        <v>#REF!</v>
      </c>
      <c r="B6" s="11" t="str">
        <f t="shared" si="7"/>
        <v>#REF!</v>
      </c>
      <c r="C6" s="11" t="str">
        <f t="shared" si="7"/>
        <v>#REF!</v>
      </c>
      <c r="D6" s="11" t="str">
        <f t="shared" si="7"/>
        <v>#REF!</v>
      </c>
      <c r="E6" s="13" t="str">
        <f t="shared" si="1"/>
        <v>#REF!</v>
      </c>
      <c r="F6" s="14" t="str">
        <f>IFERROR(__xludf.DUMMYFUNCTION("GOOGLEFINANCE(B6)"),"#REF!")</f>
        <v>#REF!</v>
      </c>
      <c r="G6" s="14" t="str">
        <f>IFERROR(__xludf.DUMMYFUNCTION("GOOGLEFINANCE(B6,""change"")"),"#REF!")</f>
        <v>#REF!</v>
      </c>
      <c r="H6" s="14" t="str">
        <f>IFERROR(__xludf.DUMMYFUNCTION("GOOGLEFINANCE(B6,""changepct"")"),"#REF!")</f>
        <v>#REF!</v>
      </c>
      <c r="I6" s="14" t="str">
        <f t="shared" si="2"/>
        <v>#REF!</v>
      </c>
      <c r="J6" s="14" t="str">
        <f t="shared" si="3"/>
        <v>#REF!</v>
      </c>
      <c r="K6" s="15" t="str">
        <f t="shared" si="4"/>
        <v>#REF!</v>
      </c>
      <c r="L6" s="15" t="str">
        <f t="shared" si="5"/>
        <v>#REF!</v>
      </c>
      <c r="M6" s="15" t="str">
        <f t="shared" si="6"/>
        <v>#REF!</v>
      </c>
      <c r="N6" s="13" t="s">
        <v>37</v>
      </c>
    </row>
    <row r="7" ht="22.5" customHeight="1">
      <c r="A7" s="11" t="str">
        <f>consolidated!A5</f>
        <v>JMFINANCIALS(4.3)</v>
      </c>
      <c r="B7" s="11" t="str">
        <f>consolidated!B5</f>
        <v>NSE:JMFINANCIL</v>
      </c>
      <c r="C7" s="11">
        <f>consolidated!C5</f>
        <v>134.8056851</v>
      </c>
      <c r="D7" s="12">
        <f>consolidated!D5</f>
        <v>15180</v>
      </c>
      <c r="E7" s="13">
        <f t="shared" si="1"/>
        <v>2046350.3</v>
      </c>
      <c r="F7" s="14">
        <f>IFERROR(__xludf.DUMMYFUNCTION("GOOGLEFINANCE(B7)"),145.37)</f>
        <v>145.37</v>
      </c>
      <c r="G7" s="14">
        <f>IFERROR(__xludf.DUMMYFUNCTION("GOOGLEFINANCE(B7,""change"")"),2.52)</f>
        <v>2.52</v>
      </c>
      <c r="H7" s="14">
        <f>IFERROR(__xludf.DUMMYFUNCTION("GOOGLEFINANCE(B7,""changepct"")"),1.76)</f>
        <v>1.76</v>
      </c>
      <c r="I7" s="14">
        <f t="shared" si="2"/>
        <v>2206716.6</v>
      </c>
      <c r="J7" s="14">
        <f t="shared" si="3"/>
        <v>160366.2995</v>
      </c>
      <c r="K7" s="15">
        <f t="shared" si="4"/>
        <v>0.07836698315</v>
      </c>
      <c r="L7" s="15" t="str">
        <f t="shared" si="5"/>
        <v>#REF!</v>
      </c>
      <c r="M7" s="15" t="str">
        <f t="shared" si="6"/>
        <v>#REF!</v>
      </c>
      <c r="N7" s="13" t="s">
        <v>36</v>
      </c>
    </row>
    <row r="8" ht="22.5" customHeight="1">
      <c r="A8" s="11" t="str">
        <f>consolidated!A6</f>
        <v>WINDLAS(2.4)</v>
      </c>
      <c r="B8" s="11" t="str">
        <f>consolidated!B6</f>
        <v>NSE:WINDLAS</v>
      </c>
      <c r="C8" s="11">
        <f>consolidated!C6</f>
        <v>923.4743671</v>
      </c>
      <c r="D8" s="12">
        <f>consolidated!D6</f>
        <v>1580</v>
      </c>
      <c r="E8" s="13">
        <f t="shared" si="1"/>
        <v>1459089.5</v>
      </c>
      <c r="F8" s="14">
        <f>IFERROR(__xludf.DUMMYFUNCTION("GOOGLEFINANCE(B8)"),826.0)</f>
        <v>826</v>
      </c>
      <c r="G8" s="14">
        <f>IFERROR(__xludf.DUMMYFUNCTION("GOOGLEFINANCE(B8,""change"")"),-28.55)</f>
        <v>-28.55</v>
      </c>
      <c r="H8" s="14">
        <f>IFERROR(__xludf.DUMMYFUNCTION("GOOGLEFINANCE(B8,""changepct"")"),-3.34)</f>
        <v>-3.34</v>
      </c>
      <c r="I8" s="14">
        <f t="shared" si="2"/>
        <v>1305080</v>
      </c>
      <c r="J8" s="14">
        <f t="shared" si="3"/>
        <v>-154009.5</v>
      </c>
      <c r="K8" s="15">
        <f t="shared" si="4"/>
        <v>-0.1055517842</v>
      </c>
      <c r="L8" s="15" t="str">
        <f t="shared" si="5"/>
        <v>#REF!</v>
      </c>
      <c r="M8" s="15" t="str">
        <f t="shared" ref="M8:M26" si="8">E8/$C$35</f>
        <v>#REF!</v>
      </c>
      <c r="N8" s="13" t="s">
        <v>37</v>
      </c>
    </row>
    <row r="9" ht="22.5" customHeight="1">
      <c r="A9" s="11" t="str">
        <f>consolidated!A7</f>
        <v>SOLARA(sajal)</v>
      </c>
      <c r="B9" s="11" t="str">
        <f>consolidated!B7</f>
        <v>NSE:SOLARA</v>
      </c>
      <c r="C9" s="11">
        <f>consolidated!C7</f>
        <v>635.9722378</v>
      </c>
      <c r="D9" s="12">
        <f>consolidated!D7</f>
        <v>2422</v>
      </c>
      <c r="E9" s="13">
        <f t="shared" si="1"/>
        <v>1540324.76</v>
      </c>
      <c r="F9" s="14">
        <f>IFERROR(__xludf.DUMMYFUNCTION("GOOGLEFINANCE(B9)"),522.5)</f>
        <v>522.5</v>
      </c>
      <c r="G9" s="14">
        <f>IFERROR(__xludf.DUMMYFUNCTION("GOOGLEFINANCE(B9,""change"")"),7.65)</f>
        <v>7.65</v>
      </c>
      <c r="H9" s="14">
        <f>IFERROR(__xludf.DUMMYFUNCTION("GOOGLEFINANCE(B9,""changepct"")"),1.49)</f>
        <v>1.49</v>
      </c>
      <c r="I9" s="14">
        <f t="shared" si="2"/>
        <v>1265495</v>
      </c>
      <c r="J9" s="14">
        <f t="shared" si="3"/>
        <v>-274829.76</v>
      </c>
      <c r="K9" s="15">
        <f t="shared" si="4"/>
        <v>-0.1784232567</v>
      </c>
      <c r="L9" s="15" t="str">
        <f t="shared" si="5"/>
        <v>#REF!</v>
      </c>
      <c r="M9" s="15" t="str">
        <f t="shared" si="8"/>
        <v>#REF!</v>
      </c>
      <c r="N9" s="3" t="s">
        <v>37</v>
      </c>
    </row>
    <row r="10" ht="22.5" customHeight="1">
      <c r="A10" s="11" t="str">
        <f>consolidated!A8</f>
        <v>ABCAPITAL(5.9)</v>
      </c>
      <c r="B10" s="11" t="str">
        <f>consolidated!B8</f>
        <v>NSE:ABCAPITAL</v>
      </c>
      <c r="C10" s="11">
        <f>consolidated!C8</f>
        <v>198.9230769</v>
      </c>
      <c r="D10" s="12">
        <f>consolidated!D8</f>
        <v>6500</v>
      </c>
      <c r="E10" s="13">
        <f t="shared" si="1"/>
        <v>1293000</v>
      </c>
      <c r="F10" s="14">
        <f>IFERROR(__xludf.DUMMYFUNCTION("GOOGLEFINANCE(B10)"),362.3)</f>
        <v>362.3</v>
      </c>
      <c r="G10" s="14">
        <f>IFERROR(__xludf.DUMMYFUNCTION("GOOGLEFINANCE(B10,""change"")"),-6.7)</f>
        <v>-6.7</v>
      </c>
      <c r="H10" s="14">
        <f>IFERROR(__xludf.DUMMYFUNCTION("GOOGLEFINANCE(B10,""changepct"")"),-1.82)</f>
        <v>-1.82</v>
      </c>
      <c r="I10" s="14">
        <f t="shared" si="2"/>
        <v>2354950</v>
      </c>
      <c r="J10" s="14">
        <f t="shared" si="3"/>
        <v>1061950</v>
      </c>
      <c r="K10" s="15">
        <f t="shared" si="4"/>
        <v>0.821307038</v>
      </c>
      <c r="L10" s="15" t="str">
        <f t="shared" si="5"/>
        <v>#REF!</v>
      </c>
      <c r="M10" s="15" t="str">
        <f t="shared" si="8"/>
        <v>#REF!</v>
      </c>
      <c r="N10" s="3" t="s">
        <v>37</v>
      </c>
    </row>
    <row r="11" ht="22.5" customHeight="1">
      <c r="A11" s="11" t="str">
        <f>consolidated!A9</f>
        <v>TDPOWERSYS(5.4)</v>
      </c>
      <c r="B11" s="11" t="str">
        <f>consolidated!B9</f>
        <v>NSE:TDPOWERSYS</v>
      </c>
      <c r="C11" s="11">
        <f>consolidated!C9</f>
        <v>399.506524</v>
      </c>
      <c r="D11" s="12">
        <f>consolidated!D9</f>
        <v>4954</v>
      </c>
      <c r="E11" s="13">
        <f t="shared" si="1"/>
        <v>1979155.32</v>
      </c>
      <c r="F11" s="14">
        <f>IFERROR(__xludf.DUMMYFUNCTION("GOOGLEFINANCE(B11)"),1227.9)</f>
        <v>1227.9</v>
      </c>
      <c r="G11" s="14">
        <f>IFERROR(__xludf.DUMMYFUNCTION("GOOGLEFINANCE(B11,""change"")"),-17.4)</f>
        <v>-17.4</v>
      </c>
      <c r="H11" s="14">
        <f>IFERROR(__xludf.DUMMYFUNCTION("GOOGLEFINANCE(B11,""changepct"")"),-1.4)</f>
        <v>-1.4</v>
      </c>
      <c r="I11" s="14">
        <f t="shared" si="2"/>
        <v>6083016.6</v>
      </c>
      <c r="J11" s="14">
        <f t="shared" si="3"/>
        <v>4103861.28</v>
      </c>
      <c r="K11" s="15">
        <f t="shared" si="4"/>
        <v>2.073541798</v>
      </c>
      <c r="L11" s="15" t="str">
        <f t="shared" si="5"/>
        <v>#REF!</v>
      </c>
      <c r="M11" s="15" t="str">
        <f t="shared" si="8"/>
        <v>#REF!</v>
      </c>
      <c r="N11" s="3" t="s">
        <v>37</v>
      </c>
    </row>
    <row r="12" ht="22.5" customHeight="1">
      <c r="A12" s="11" t="str">
        <f>consolidated!A10</f>
        <v>LAURUS(sajal)</v>
      </c>
      <c r="B12" s="11" t="str">
        <f>consolidated!B10</f>
        <v>NSE:LAURUSLABS</v>
      </c>
      <c r="C12" s="11">
        <f>consolidated!C10</f>
        <v>571.0271341</v>
      </c>
      <c r="D12" s="12">
        <f>consolidated!D10</f>
        <v>3280</v>
      </c>
      <c r="E12" s="13">
        <f t="shared" si="1"/>
        <v>1872969</v>
      </c>
      <c r="F12" s="14">
        <f>IFERROR(__xludf.DUMMYFUNCTION("GOOGLEFINANCE(B12)"),1225.2)</f>
        <v>1225.2</v>
      </c>
      <c r="G12" s="14">
        <f>IFERROR(__xludf.DUMMYFUNCTION("GOOGLEFINANCE(B12,""change"")"),18.7)</f>
        <v>18.7</v>
      </c>
      <c r="H12" s="14">
        <f>IFERROR(__xludf.DUMMYFUNCTION("GOOGLEFINANCE(B12,""changepct"")"),1.55)</f>
        <v>1.55</v>
      </c>
      <c r="I12" s="14">
        <f t="shared" si="2"/>
        <v>4018656</v>
      </c>
      <c r="J12" s="14">
        <f t="shared" si="3"/>
        <v>2145687</v>
      </c>
      <c r="K12" s="15">
        <f t="shared" si="4"/>
        <v>1.145607322</v>
      </c>
      <c r="L12" s="15" t="str">
        <f t="shared" si="5"/>
        <v>#REF!</v>
      </c>
      <c r="M12" s="15" t="str">
        <f t="shared" si="8"/>
        <v>#REF!</v>
      </c>
      <c r="N12" s="3" t="s">
        <v>37</v>
      </c>
    </row>
    <row r="13" ht="22.5" customHeight="1">
      <c r="A13" s="11" t="str">
        <f t="shared" ref="A13:D13" si="9">#REF!</f>
        <v>#REF!</v>
      </c>
      <c r="B13" s="11" t="str">
        <f t="shared" si="9"/>
        <v>#REF!</v>
      </c>
      <c r="C13" s="11" t="str">
        <f t="shared" si="9"/>
        <v>#REF!</v>
      </c>
      <c r="D13" s="11" t="str">
        <f t="shared" si="9"/>
        <v>#REF!</v>
      </c>
      <c r="E13" s="13" t="str">
        <f t="shared" si="1"/>
        <v>#REF!</v>
      </c>
      <c r="F13" s="14" t="str">
        <f>IFERROR(__xludf.DUMMYFUNCTION("GOOGLEFINANCE(B13)"),"#REF!")</f>
        <v>#REF!</v>
      </c>
      <c r="G13" s="14" t="str">
        <f>IFERROR(__xludf.DUMMYFUNCTION("GOOGLEFINANCE(B13,""change"")"),"#REF!")</f>
        <v>#REF!</v>
      </c>
      <c r="H13" s="14" t="str">
        <f>IFERROR(__xludf.DUMMYFUNCTION("GOOGLEFINANCE(B13,""changepct"")"),"#REF!")</f>
        <v>#REF!</v>
      </c>
      <c r="I13" s="14" t="str">
        <f t="shared" si="2"/>
        <v>#REF!</v>
      </c>
      <c r="J13" s="14" t="str">
        <f t="shared" si="3"/>
        <v>#REF!</v>
      </c>
      <c r="K13" s="15" t="str">
        <f t="shared" si="4"/>
        <v>#REF!</v>
      </c>
      <c r="L13" s="15" t="str">
        <f t="shared" si="5"/>
        <v>#REF!</v>
      </c>
      <c r="M13" s="15" t="str">
        <f t="shared" si="8"/>
        <v>#REF!</v>
      </c>
      <c r="N13" s="3" t="s">
        <v>38</v>
      </c>
    </row>
    <row r="14" ht="22.5" customHeight="1">
      <c r="A14" s="11" t="str">
        <f t="shared" ref="A14:D14" si="10">#REF!</f>
        <v>#REF!</v>
      </c>
      <c r="B14" s="11" t="str">
        <f t="shared" si="10"/>
        <v>#REF!</v>
      </c>
      <c r="C14" s="11" t="str">
        <f t="shared" si="10"/>
        <v>#REF!</v>
      </c>
      <c r="D14" s="11" t="str">
        <f t="shared" si="10"/>
        <v>#REF!</v>
      </c>
      <c r="E14" s="13" t="str">
        <f t="shared" si="1"/>
        <v>#REF!</v>
      </c>
      <c r="F14" s="14" t="str">
        <f>IFERROR(__xludf.DUMMYFUNCTION("GOOGLEFINANCE(B14)"),"#REF!")</f>
        <v>#REF!</v>
      </c>
      <c r="G14" s="14" t="str">
        <f>IFERROR(__xludf.DUMMYFUNCTION("GOOGLEFINANCE(B14,""change"")"),"#REF!")</f>
        <v>#REF!</v>
      </c>
      <c r="H14" s="14" t="str">
        <f>IFERROR(__xludf.DUMMYFUNCTION("GOOGLEFINANCE(B14,""changepct"")"),"#REF!")</f>
        <v>#REF!</v>
      </c>
      <c r="I14" s="14" t="str">
        <f t="shared" si="2"/>
        <v>#REF!</v>
      </c>
      <c r="J14" s="14" t="str">
        <f t="shared" si="3"/>
        <v>#REF!</v>
      </c>
      <c r="K14" s="15" t="str">
        <f t="shared" si="4"/>
        <v>#REF!</v>
      </c>
      <c r="L14" s="15" t="str">
        <f t="shared" si="5"/>
        <v>#REF!</v>
      </c>
      <c r="M14" s="15" t="str">
        <f t="shared" si="8"/>
        <v>#REF!</v>
      </c>
      <c r="N14" s="3" t="s">
        <v>37</v>
      </c>
    </row>
    <row r="15" ht="22.5" customHeight="1">
      <c r="A15" s="11" t="str">
        <f t="shared" ref="A15:D15" si="11">#REF!</f>
        <v>#REF!</v>
      </c>
      <c r="B15" s="11" t="str">
        <f t="shared" si="11"/>
        <v>#REF!</v>
      </c>
      <c r="C15" s="11" t="str">
        <f t="shared" si="11"/>
        <v>#REF!</v>
      </c>
      <c r="D15" s="11" t="str">
        <f t="shared" si="11"/>
        <v>#REF!</v>
      </c>
      <c r="E15" s="13" t="str">
        <f t="shared" si="1"/>
        <v>#REF!</v>
      </c>
      <c r="F15" s="14" t="str">
        <f>IFERROR(__xludf.DUMMYFUNCTION("GOOGLEFINANCE(B15)"),"#REF!")</f>
        <v>#REF!</v>
      </c>
      <c r="G15" s="14" t="str">
        <f>IFERROR(__xludf.DUMMYFUNCTION("GOOGLEFINANCE(B15,""change"")"),"#REF!")</f>
        <v>#REF!</v>
      </c>
      <c r="H15" s="14" t="str">
        <f>IFERROR(__xludf.DUMMYFUNCTION("GOOGLEFINANCE(B15,""changepct"")"),"#REF!")</f>
        <v>#REF!</v>
      </c>
      <c r="I15" s="14" t="str">
        <f t="shared" si="2"/>
        <v>#REF!</v>
      </c>
      <c r="J15" s="14" t="str">
        <f t="shared" si="3"/>
        <v>#REF!</v>
      </c>
      <c r="K15" s="15" t="str">
        <f t="shared" si="4"/>
        <v>#REF!</v>
      </c>
      <c r="L15" s="15" t="str">
        <f t="shared" si="5"/>
        <v>#REF!</v>
      </c>
      <c r="M15" s="15" t="str">
        <f t="shared" si="8"/>
        <v>#REF!</v>
      </c>
      <c r="N15" s="3" t="s">
        <v>37</v>
      </c>
    </row>
    <row r="16" ht="22.5" customHeight="1">
      <c r="A16" s="11" t="str">
        <f t="shared" ref="A16:D16" si="12">#REF!</f>
        <v>#REF!</v>
      </c>
      <c r="B16" s="11" t="str">
        <f t="shared" si="12"/>
        <v>#REF!</v>
      </c>
      <c r="C16" s="11" t="str">
        <f t="shared" si="12"/>
        <v>#REF!</v>
      </c>
      <c r="D16" s="11" t="str">
        <f t="shared" si="12"/>
        <v>#REF!</v>
      </c>
      <c r="E16" s="13" t="str">
        <f t="shared" si="1"/>
        <v>#REF!</v>
      </c>
      <c r="F16" s="14" t="str">
        <f>IFERROR(__xludf.DUMMYFUNCTION("GOOGLEFINANCE(B16)"),"#REF!")</f>
        <v>#REF!</v>
      </c>
      <c r="G16" s="14" t="str">
        <f>IFERROR(__xludf.DUMMYFUNCTION("GOOGLEFINANCE(B16,""change"")"),"#REF!")</f>
        <v>#REF!</v>
      </c>
      <c r="H16" s="14" t="str">
        <f>IFERROR(__xludf.DUMMYFUNCTION("GOOGLEFINANCE(B16,""changepct"")"),"#REF!")</f>
        <v>#REF!</v>
      </c>
      <c r="I16" s="14" t="str">
        <f t="shared" si="2"/>
        <v>#REF!</v>
      </c>
      <c r="J16" s="14" t="str">
        <f t="shared" si="3"/>
        <v>#REF!</v>
      </c>
      <c r="K16" s="15" t="str">
        <f t="shared" si="4"/>
        <v>#REF!</v>
      </c>
      <c r="L16" s="15" t="str">
        <f t="shared" si="5"/>
        <v>#REF!</v>
      </c>
      <c r="M16" s="15" t="str">
        <f t="shared" si="8"/>
        <v>#REF!</v>
      </c>
      <c r="N16" s="3" t="s">
        <v>37</v>
      </c>
    </row>
    <row r="17" ht="22.5" customHeight="1">
      <c r="A17" s="11" t="str">
        <f>consolidated!A11</f>
        <v>ENTERO(4.6)</v>
      </c>
      <c r="B17" s="11" t="str">
        <f>consolidated!B11</f>
        <v>NSE:ENTERO</v>
      </c>
      <c r="C17" s="11">
        <f>consolidated!C11</f>
        <v>1195.117774</v>
      </c>
      <c r="D17" s="12">
        <f>consolidated!D11</f>
        <v>1520</v>
      </c>
      <c r="E17" s="13">
        <f t="shared" si="1"/>
        <v>1816579.016</v>
      </c>
      <c r="F17" s="14">
        <f>IFERROR(__xludf.DUMMYFUNCTION("GOOGLEFINANCE(B17)"),1221.0)</f>
        <v>1221</v>
      </c>
      <c r="G17" s="14">
        <f>IFERROR(__xludf.DUMMYFUNCTION("GOOGLEFINANCE(B17,""change"")"),-44.7)</f>
        <v>-44.7</v>
      </c>
      <c r="H17" s="14">
        <f>IFERROR(__xludf.DUMMYFUNCTION("GOOGLEFINANCE(B17,""changepct"")"),-3.53)</f>
        <v>-3.53</v>
      </c>
      <c r="I17" s="14">
        <f t="shared" si="2"/>
        <v>1855920</v>
      </c>
      <c r="J17" s="14">
        <f t="shared" si="3"/>
        <v>39340.984</v>
      </c>
      <c r="K17" s="15">
        <f t="shared" si="4"/>
        <v>0.02165663241</v>
      </c>
      <c r="L17" s="15" t="str">
        <f t="shared" si="5"/>
        <v>#REF!</v>
      </c>
      <c r="M17" s="15" t="str">
        <f t="shared" si="8"/>
        <v>#REF!</v>
      </c>
      <c r="N17" s="3" t="s">
        <v>37</v>
      </c>
    </row>
    <row r="18" ht="22.5" customHeight="1">
      <c r="A18" s="11" t="str">
        <f t="shared" ref="A18:D18" si="13">#REF!</f>
        <v>#REF!</v>
      </c>
      <c r="B18" s="11" t="str">
        <f t="shared" si="13"/>
        <v>#REF!</v>
      </c>
      <c r="C18" s="11" t="str">
        <f t="shared" si="13"/>
        <v>#REF!</v>
      </c>
      <c r="D18" s="11" t="str">
        <f t="shared" si="13"/>
        <v>#REF!</v>
      </c>
      <c r="E18" s="13" t="str">
        <f t="shared" si="1"/>
        <v>#REF!</v>
      </c>
      <c r="F18" s="14" t="str">
        <f>IFERROR(__xludf.DUMMYFUNCTION("GOOGLEFINANCE(B18)"),"#REF!")</f>
        <v>#REF!</v>
      </c>
      <c r="G18" s="14" t="str">
        <f>IFERROR(__xludf.DUMMYFUNCTION("GOOGLEFINANCE(B18,""change"")"),"#REF!")</f>
        <v>#REF!</v>
      </c>
      <c r="H18" s="14" t="str">
        <f>IFERROR(__xludf.DUMMYFUNCTION("GOOGLEFINANCE(B18,""changepct"")"),"#REF!")</f>
        <v>#REF!</v>
      </c>
      <c r="I18" s="14" t="str">
        <f t="shared" si="2"/>
        <v>#REF!</v>
      </c>
      <c r="J18" s="14" t="str">
        <f t="shared" si="3"/>
        <v>#REF!</v>
      </c>
      <c r="K18" s="15" t="str">
        <f t="shared" si="4"/>
        <v>#REF!</v>
      </c>
      <c r="L18" s="15" t="str">
        <f t="shared" si="5"/>
        <v>#REF!</v>
      </c>
      <c r="M18" s="15" t="str">
        <f t="shared" si="8"/>
        <v>#REF!</v>
      </c>
      <c r="N18" s="3" t="s">
        <v>37</v>
      </c>
    </row>
    <row r="19" ht="22.5" customHeight="1">
      <c r="A19" s="11" t="str">
        <f t="shared" ref="A19:D19" si="14">#REF!</f>
        <v>#REF!</v>
      </c>
      <c r="B19" s="11" t="str">
        <f t="shared" si="14"/>
        <v>#REF!</v>
      </c>
      <c r="C19" s="11" t="str">
        <f t="shared" si="14"/>
        <v>#REF!</v>
      </c>
      <c r="D19" s="11" t="str">
        <f t="shared" si="14"/>
        <v>#REF!</v>
      </c>
      <c r="E19" s="13" t="str">
        <f t="shared" si="1"/>
        <v>#REF!</v>
      </c>
      <c r="F19" s="14" t="str">
        <f>IFERROR(__xludf.DUMMYFUNCTION("GOOGLEFINANCE(B19)"),"#REF!")</f>
        <v>#REF!</v>
      </c>
      <c r="G19" s="14" t="str">
        <f>IFERROR(__xludf.DUMMYFUNCTION("GOOGLEFINANCE(B19,""change"")"),"#REF!")</f>
        <v>#REF!</v>
      </c>
      <c r="H19" s="14" t="str">
        <f>IFERROR(__xludf.DUMMYFUNCTION("GOOGLEFINANCE(B19,""changepct"")"),"#REF!")</f>
        <v>#REF!</v>
      </c>
      <c r="I19" s="14" t="str">
        <f t="shared" si="2"/>
        <v>#REF!</v>
      </c>
      <c r="J19" s="14" t="str">
        <f t="shared" si="3"/>
        <v>#REF!</v>
      </c>
      <c r="K19" s="15" t="str">
        <f t="shared" si="4"/>
        <v>#REF!</v>
      </c>
      <c r="L19" s="15" t="str">
        <f t="shared" si="5"/>
        <v>#REF!</v>
      </c>
      <c r="M19" s="15" t="str">
        <f t="shared" si="8"/>
        <v>#REF!</v>
      </c>
      <c r="N19" s="3" t="s">
        <v>37</v>
      </c>
    </row>
    <row r="20" ht="22.5" customHeight="1">
      <c r="A20" s="11" t="str">
        <f t="shared" ref="A20:D20" si="15">#REF!</f>
        <v>#REF!</v>
      </c>
      <c r="B20" s="11" t="str">
        <f t="shared" si="15"/>
        <v>#REF!</v>
      </c>
      <c r="C20" s="11" t="str">
        <f t="shared" si="15"/>
        <v>#REF!</v>
      </c>
      <c r="D20" s="11" t="str">
        <f t="shared" si="15"/>
        <v>#REF!</v>
      </c>
      <c r="E20" s="13" t="str">
        <f t="shared" si="1"/>
        <v>#REF!</v>
      </c>
      <c r="F20" s="14" t="str">
        <f>IFERROR(__xludf.DUMMYFUNCTION("GOOGLEFINANCE(B20)"),"#REF!")</f>
        <v>#REF!</v>
      </c>
      <c r="G20" s="14" t="str">
        <f>IFERROR(__xludf.DUMMYFUNCTION("GOOGLEFINANCE(B20,""change"")"),"#REF!")</f>
        <v>#REF!</v>
      </c>
      <c r="H20" s="14" t="str">
        <f>IFERROR(__xludf.DUMMYFUNCTION("GOOGLEFINANCE(B20,""changepct"")"),"#REF!")</f>
        <v>#REF!</v>
      </c>
      <c r="I20" s="14" t="str">
        <f t="shared" si="2"/>
        <v>#REF!</v>
      </c>
      <c r="J20" s="14" t="str">
        <f t="shared" si="3"/>
        <v>#REF!</v>
      </c>
      <c r="K20" s="15" t="str">
        <f t="shared" si="4"/>
        <v>#REF!</v>
      </c>
      <c r="L20" s="15" t="str">
        <f t="shared" si="5"/>
        <v>#REF!</v>
      </c>
      <c r="M20" s="15" t="str">
        <f t="shared" si="8"/>
        <v>#REF!</v>
      </c>
      <c r="N20" s="3" t="s">
        <v>37</v>
      </c>
    </row>
    <row r="21" ht="22.5" customHeight="1">
      <c r="A21" s="11" t="str">
        <f>consolidated!A12</f>
        <v>INTERARCH(3.8)</v>
      </c>
      <c r="B21" s="11" t="str">
        <f>consolidated!B12</f>
        <v>NSE:INTERARCH</v>
      </c>
      <c r="C21" s="11">
        <f>consolidated!C12</f>
        <v>1860.242986</v>
      </c>
      <c r="D21" s="12">
        <f>consolidated!D12</f>
        <v>653</v>
      </c>
      <c r="E21" s="13">
        <f t="shared" si="1"/>
        <v>1214738.67</v>
      </c>
      <c r="F21" s="14">
        <f>IFERROR(__xludf.DUMMYFUNCTION("GOOGLEFINANCE(B21)"),2142.5)</f>
        <v>2142.5</v>
      </c>
      <c r="G21" s="14">
        <f>IFERROR(__xludf.DUMMYFUNCTION("GOOGLEFINANCE(B21,""change"")"),-36.2)</f>
        <v>-36.2</v>
      </c>
      <c r="H21" s="14">
        <f>IFERROR(__xludf.DUMMYFUNCTION("GOOGLEFINANCE(B21,""changepct"")"),-1.66)</f>
        <v>-1.66</v>
      </c>
      <c r="I21" s="14">
        <f t="shared" si="2"/>
        <v>1399052.5</v>
      </c>
      <c r="J21" s="14">
        <f t="shared" si="3"/>
        <v>184313.83</v>
      </c>
      <c r="K21" s="15">
        <f t="shared" si="4"/>
        <v>0.1517312608</v>
      </c>
      <c r="L21" s="15" t="str">
        <f t="shared" si="5"/>
        <v>#REF!</v>
      </c>
      <c r="M21" s="15" t="str">
        <f t="shared" si="8"/>
        <v>#REF!</v>
      </c>
      <c r="N21" s="3" t="s">
        <v>37</v>
      </c>
    </row>
    <row r="22" ht="22.5" customHeight="1">
      <c r="A22" s="11" t="str">
        <f>consolidated!A13</f>
        <v>PAYTM(4.5)</v>
      </c>
      <c r="B22" s="11" t="str">
        <f>consolidated!B13</f>
        <v>NSE:PAYTM</v>
      </c>
      <c r="C22" s="11">
        <f>consolidated!C13</f>
        <v>970.3882408</v>
      </c>
      <c r="D22" s="12">
        <f>consolidated!D13</f>
        <v>900</v>
      </c>
      <c r="E22" s="13">
        <f t="shared" si="1"/>
        <v>873349.4167</v>
      </c>
      <c r="F22" s="14">
        <f>IFERROR(__xludf.DUMMYFUNCTION("GOOGLEFINANCE(B22)"),1188.0)</f>
        <v>1188</v>
      </c>
      <c r="G22" s="14">
        <f>IFERROR(__xludf.DUMMYFUNCTION("GOOGLEFINANCE(B22,""change"")"),-9.4)</f>
        <v>-9.4</v>
      </c>
      <c r="H22" s="14">
        <f>IFERROR(__xludf.DUMMYFUNCTION("GOOGLEFINANCE(B22,""changepct"")"),-0.79)</f>
        <v>-0.79</v>
      </c>
      <c r="I22" s="14">
        <f t="shared" si="2"/>
        <v>1069200</v>
      </c>
      <c r="J22" s="14">
        <f t="shared" si="3"/>
        <v>195850.5833</v>
      </c>
      <c r="K22" s="15">
        <f t="shared" si="4"/>
        <v>0.2242522633</v>
      </c>
      <c r="L22" s="15" t="str">
        <f t="shared" si="5"/>
        <v>#REF!</v>
      </c>
      <c r="M22" s="15" t="str">
        <f t="shared" si="8"/>
        <v>#REF!</v>
      </c>
      <c r="N22" s="3" t="s">
        <v>37</v>
      </c>
    </row>
    <row r="23" ht="22.5" customHeight="1">
      <c r="A23" s="11" t="str">
        <f>consolidated!A14</f>
        <v>UJJIVANSFB(7)</v>
      </c>
      <c r="B23" s="11" t="str">
        <f>consolidated!B14</f>
        <v>NSE:UJJIVANSFB</v>
      </c>
      <c r="C23" s="11">
        <f>consolidated!C14</f>
        <v>43.75222222</v>
      </c>
      <c r="D23" s="12">
        <f>consolidated!D14</f>
        <v>36000</v>
      </c>
      <c r="E23" s="13">
        <f t="shared" si="1"/>
        <v>1575080</v>
      </c>
      <c r="F23" s="14">
        <f>IFERROR(__xludf.DUMMYFUNCTION("GOOGLEFINANCE(B23)"),62.4)</f>
        <v>62.4</v>
      </c>
      <c r="G23" s="14">
        <f>IFERROR(__xludf.DUMMYFUNCTION("GOOGLEFINANCE(B23,""change"")"),-0.27)</f>
        <v>-0.27</v>
      </c>
      <c r="H23" s="14">
        <f>IFERROR(__xludf.DUMMYFUNCTION("GOOGLEFINANCE(B23,""changepct"")"),-0.43)</f>
        <v>-0.43</v>
      </c>
      <c r="I23" s="14">
        <f t="shared" si="2"/>
        <v>2246400</v>
      </c>
      <c r="J23" s="14">
        <f t="shared" si="3"/>
        <v>671320</v>
      </c>
      <c r="K23" s="15">
        <f t="shared" si="4"/>
        <v>0.4262132717</v>
      </c>
      <c r="L23" s="15" t="str">
        <f t="shared" si="5"/>
        <v>#REF!</v>
      </c>
      <c r="M23" s="15" t="str">
        <f t="shared" si="8"/>
        <v>#REF!</v>
      </c>
      <c r="N23" s="3" t="s">
        <v>37</v>
      </c>
    </row>
    <row r="24" ht="22.5" customHeight="1">
      <c r="A24" s="11" t="str">
        <f>consolidated!A15</f>
        <v>FDC(Sajal)</v>
      </c>
      <c r="B24" s="11" t="str">
        <f>consolidated!B15</f>
        <v>NSE:FDC</v>
      </c>
      <c r="C24" s="11">
        <f>consolidated!C15</f>
        <v>480.9283784</v>
      </c>
      <c r="D24" s="12">
        <f>consolidated!D15</f>
        <v>3700</v>
      </c>
      <c r="E24" s="13">
        <f t="shared" si="1"/>
        <v>1779435</v>
      </c>
      <c r="F24" s="14">
        <f>IFERROR(__xludf.DUMMYFUNCTION("GOOGLEFINANCE(B24)"),380.25)</f>
        <v>380.25</v>
      </c>
      <c r="G24" s="14">
        <f>IFERROR(__xludf.DUMMYFUNCTION("GOOGLEFINANCE(B24,""change"")"),4.7)</f>
        <v>4.7</v>
      </c>
      <c r="H24" s="14">
        <f>IFERROR(__xludf.DUMMYFUNCTION("GOOGLEFINANCE(B24,""changepct"")"),1.25)</f>
        <v>1.25</v>
      </c>
      <c r="I24" s="14">
        <f t="shared" si="2"/>
        <v>1406925</v>
      </c>
      <c r="J24" s="14">
        <f t="shared" si="3"/>
        <v>-372510.0001</v>
      </c>
      <c r="K24" s="15">
        <f t="shared" si="4"/>
        <v>-0.2093417293</v>
      </c>
      <c r="L24" s="15" t="str">
        <f t="shared" si="5"/>
        <v>#REF!</v>
      </c>
      <c r="M24" s="15" t="str">
        <f t="shared" si="8"/>
        <v>#REF!</v>
      </c>
      <c r="N24" s="3" t="s">
        <v>37</v>
      </c>
    </row>
    <row r="25" ht="22.5" customHeight="1">
      <c r="A25" s="11" t="str">
        <f t="shared" ref="A25:D25" si="16">#REF!</f>
        <v>#REF!</v>
      </c>
      <c r="B25" s="11" t="str">
        <f t="shared" si="16"/>
        <v>#REF!</v>
      </c>
      <c r="C25" s="11" t="str">
        <f t="shared" si="16"/>
        <v>#REF!</v>
      </c>
      <c r="D25" s="11" t="str">
        <f t="shared" si="16"/>
        <v>#REF!</v>
      </c>
      <c r="E25" s="13" t="str">
        <f t="shared" si="1"/>
        <v>#REF!</v>
      </c>
      <c r="F25" s="14" t="str">
        <f>IFERROR(__xludf.DUMMYFUNCTION("GOOGLEFINANCE(B25)"),"#REF!")</f>
        <v>#REF!</v>
      </c>
      <c r="G25" s="14" t="str">
        <f>IFERROR(__xludf.DUMMYFUNCTION("GOOGLEFINANCE(B25,""change"")"),"#REF!")</f>
        <v>#REF!</v>
      </c>
      <c r="H25" s="14" t="str">
        <f>IFERROR(__xludf.DUMMYFUNCTION("GOOGLEFINANCE(B25,""changepct"")"),"#REF!")</f>
        <v>#REF!</v>
      </c>
      <c r="I25" s="14" t="str">
        <f t="shared" si="2"/>
        <v>#REF!</v>
      </c>
      <c r="J25" s="14" t="str">
        <f t="shared" si="3"/>
        <v>#REF!</v>
      </c>
      <c r="K25" s="15" t="str">
        <f t="shared" si="4"/>
        <v>#REF!</v>
      </c>
      <c r="L25" s="15" t="str">
        <f t="shared" si="5"/>
        <v>#REF!</v>
      </c>
      <c r="M25" s="15" t="str">
        <f t="shared" si="8"/>
        <v>#REF!</v>
      </c>
      <c r="N25" s="3" t="s">
        <v>37</v>
      </c>
    </row>
    <row r="26" ht="22.5" customHeight="1">
      <c r="A26" s="11" t="str">
        <f t="shared" ref="A26:D26" si="17">#REF!</f>
        <v>#REF!</v>
      </c>
      <c r="B26" s="11" t="str">
        <f t="shared" si="17"/>
        <v>#REF!</v>
      </c>
      <c r="C26" s="11" t="str">
        <f t="shared" si="17"/>
        <v>#REF!</v>
      </c>
      <c r="D26" s="11" t="str">
        <f t="shared" si="17"/>
        <v>#REF!</v>
      </c>
      <c r="E26" s="13" t="str">
        <f t="shared" si="1"/>
        <v>#REF!</v>
      </c>
      <c r="F26" s="14" t="str">
        <f>IFERROR(__xludf.DUMMYFUNCTION("GOOGLEFINANCE(B26)"),"#REF!")</f>
        <v>#REF!</v>
      </c>
      <c r="G26" s="14" t="str">
        <f>IFERROR(__xludf.DUMMYFUNCTION("GOOGLEFINANCE(B26,""change"")"),"#REF!")</f>
        <v>#REF!</v>
      </c>
      <c r="H26" s="14" t="str">
        <f>IFERROR(__xludf.DUMMYFUNCTION("GOOGLEFINANCE(B26,""changepct"")"),"#REF!")</f>
        <v>#REF!</v>
      </c>
      <c r="I26" s="14" t="str">
        <f t="shared" si="2"/>
        <v>#REF!</v>
      </c>
      <c r="J26" s="14" t="str">
        <f t="shared" si="3"/>
        <v>#REF!</v>
      </c>
      <c r="K26" s="15" t="str">
        <f t="shared" si="4"/>
        <v>#REF!</v>
      </c>
      <c r="L26" s="15" t="str">
        <f t="shared" si="5"/>
        <v>#REF!</v>
      </c>
      <c r="M26" s="15" t="str">
        <f t="shared" si="8"/>
        <v>#REF!</v>
      </c>
      <c r="N26" s="3" t="s">
        <v>37</v>
      </c>
    </row>
    <row r="27" ht="22.5" customHeight="1">
      <c r="A27" s="11"/>
      <c r="B27" s="11"/>
      <c r="C27" s="11"/>
      <c r="D27" s="11"/>
      <c r="E27" s="13"/>
      <c r="F27" s="14"/>
      <c r="G27" s="14"/>
      <c r="H27" s="14"/>
      <c r="I27" s="14"/>
      <c r="J27" s="14"/>
      <c r="K27" s="15"/>
      <c r="L27" s="15"/>
      <c r="M27" s="15"/>
    </row>
    <row r="28" ht="22.5" customHeight="1">
      <c r="A28" s="13" t="s">
        <v>39</v>
      </c>
      <c r="B28" s="14"/>
      <c r="C28" s="14"/>
      <c r="D28" s="14"/>
      <c r="E28" s="11"/>
      <c r="F28" s="14"/>
      <c r="G28" s="14"/>
      <c r="H28" s="14"/>
      <c r="I28" s="14" t="str">
        <f>E28</f>
        <v/>
      </c>
      <c r="J28" s="14"/>
      <c r="K28" s="14"/>
      <c r="L28" s="15"/>
      <c r="M28" s="15"/>
      <c r="N28" s="14"/>
    </row>
    <row r="29">
      <c r="L29" s="10"/>
      <c r="M29" s="10"/>
    </row>
    <row r="30">
      <c r="L30" s="10"/>
      <c r="M30" s="10"/>
    </row>
    <row r="31">
      <c r="H31" s="8" t="s">
        <v>40</v>
      </c>
      <c r="I31" s="8" t="s">
        <v>41</v>
      </c>
      <c r="L31" s="10"/>
      <c r="M31" s="10"/>
    </row>
    <row r="32">
      <c r="B32" s="16" t="s">
        <v>42</v>
      </c>
      <c r="C32" s="17">
        <v>45352.0</v>
      </c>
      <c r="D32" s="18">
        <f>(TODAY()-C32)/365</f>
        <v>2.189041096</v>
      </c>
      <c r="E32" s="16" t="s">
        <v>43</v>
      </c>
      <c r="F32" s="19" t="str">
        <f>SUMIF(Table1[Note],"Core",Table1[Investment ])</f>
        <v>#REF!</v>
      </c>
      <c r="H32" s="20" t="str">
        <f>0.03*C35</f>
        <v>#REF!</v>
      </c>
      <c r="I32" s="20" t="str">
        <f>(1*C35)/100</f>
        <v>#REF!</v>
      </c>
      <c r="L32" s="10"/>
      <c r="M32" s="10"/>
    </row>
    <row r="33">
      <c r="B33" s="16" t="s">
        <v>44</v>
      </c>
      <c r="C33" s="19" t="str">
        <f>SUM(E3:E28)</f>
        <v>#REF!</v>
      </c>
      <c r="E33" s="16" t="s">
        <v>45</v>
      </c>
      <c r="F33" s="19">
        <f>SUMIF(Table1[Note],"Sattelite",Table1[Investment ])</f>
        <v>0</v>
      </c>
      <c r="H33" s="20" t="str">
        <f>H32/F3</f>
        <v>#REF!</v>
      </c>
      <c r="I33" s="8">
        <v>1000.0</v>
      </c>
      <c r="L33" s="10"/>
      <c r="M33" s="10"/>
    </row>
    <row r="34">
      <c r="B34" s="16" t="s">
        <v>39</v>
      </c>
      <c r="C34" s="19" t="str">
        <f>E28</f>
        <v/>
      </c>
      <c r="L34" s="10"/>
      <c r="M34" s="10"/>
    </row>
    <row r="35">
      <c r="B35" s="16" t="s">
        <v>30</v>
      </c>
      <c r="C35" s="19" t="str">
        <f>SUM(I3:I27)</f>
        <v>#REF!</v>
      </c>
      <c r="H35" s="8" t="s">
        <v>46</v>
      </c>
      <c r="L35" s="10"/>
      <c r="M35" s="10"/>
    </row>
    <row r="36">
      <c r="B36" s="16" t="s">
        <v>47</v>
      </c>
      <c r="C36" s="19" t="str">
        <f>C35-C33</f>
        <v>#REF!</v>
      </c>
      <c r="H36" s="8" t="s">
        <v>7</v>
      </c>
      <c r="L36" s="10"/>
      <c r="M36" s="10"/>
    </row>
    <row r="37">
      <c r="B37" s="16" t="s">
        <v>48</v>
      </c>
      <c r="C37" s="21" t="str">
        <f>C36/C33</f>
        <v>#REF!</v>
      </c>
      <c r="H37" s="8" t="s">
        <v>49</v>
      </c>
      <c r="L37" s="10"/>
      <c r="M37" s="10"/>
    </row>
    <row r="38">
      <c r="B38" s="16" t="s">
        <v>50</v>
      </c>
      <c r="C38" s="19" t="str">
        <f>RATE(D32,0,-C33,C35,0)</f>
        <v>#REF!</v>
      </c>
      <c r="H38" s="8" t="s">
        <v>51</v>
      </c>
      <c r="L38" s="10"/>
      <c r="M38" s="10"/>
    </row>
    <row r="39">
      <c r="B39" s="16" t="s">
        <v>52</v>
      </c>
      <c r="C39" s="21" t="str">
        <f>XIRR(XIRR!B2:B1001,XIRR!A2:A1001)</f>
        <v>#REF!</v>
      </c>
      <c r="H39" s="8" t="s">
        <v>53</v>
      </c>
      <c r="L39" s="10"/>
      <c r="M39" s="10"/>
    </row>
    <row r="40">
      <c r="L40" s="10"/>
      <c r="M40" s="10"/>
    </row>
    <row r="41">
      <c r="L41" s="10"/>
      <c r="M41" s="10"/>
    </row>
    <row r="42">
      <c r="L42" s="10"/>
      <c r="M42" s="10"/>
    </row>
    <row r="43">
      <c r="L43" s="10"/>
      <c r="M43" s="10"/>
    </row>
    <row r="44">
      <c r="L44" s="10"/>
      <c r="M44" s="10"/>
    </row>
    <row r="45">
      <c r="L45" s="10"/>
      <c r="M45" s="10"/>
    </row>
    <row r="46">
      <c r="L46" s="10"/>
      <c r="M46" s="10"/>
    </row>
    <row r="47">
      <c r="L47" s="10"/>
      <c r="M47" s="10"/>
    </row>
    <row r="48">
      <c r="L48" s="10"/>
      <c r="M48" s="10"/>
    </row>
    <row r="49">
      <c r="L49" s="10"/>
      <c r="M49" s="10"/>
    </row>
    <row r="50">
      <c r="L50" s="10"/>
      <c r="M50" s="10"/>
    </row>
    <row r="51">
      <c r="L51" s="10"/>
      <c r="M51" s="10"/>
    </row>
    <row r="52">
      <c r="L52" s="10"/>
      <c r="M52" s="10"/>
    </row>
    <row r="53">
      <c r="L53" s="10"/>
      <c r="M53" s="10"/>
    </row>
    <row r="54">
      <c r="L54" s="10"/>
      <c r="M54" s="10"/>
    </row>
    <row r="55">
      <c r="L55" s="10"/>
      <c r="M55" s="10"/>
    </row>
    <row r="56">
      <c r="L56" s="10"/>
      <c r="M56" s="10"/>
    </row>
    <row r="57">
      <c r="L57" s="10"/>
      <c r="M57" s="10"/>
    </row>
    <row r="58">
      <c r="L58" s="10"/>
      <c r="M58" s="10"/>
    </row>
    <row r="59">
      <c r="L59" s="10"/>
      <c r="M59" s="10"/>
    </row>
    <row r="60">
      <c r="L60" s="10"/>
      <c r="M60" s="10"/>
    </row>
    <row r="61">
      <c r="L61" s="10"/>
      <c r="M61" s="10"/>
    </row>
    <row r="62">
      <c r="L62" s="10"/>
      <c r="M62" s="10"/>
    </row>
    <row r="63">
      <c r="L63" s="10"/>
      <c r="M63" s="10"/>
    </row>
    <row r="64">
      <c r="L64" s="10"/>
      <c r="M64" s="10"/>
    </row>
    <row r="65">
      <c r="L65" s="10"/>
      <c r="M65" s="10"/>
    </row>
    <row r="66">
      <c r="L66" s="10"/>
      <c r="M66" s="10"/>
    </row>
    <row r="67">
      <c r="L67" s="10"/>
      <c r="M67" s="10"/>
    </row>
    <row r="68">
      <c r="L68" s="10"/>
      <c r="M68" s="10"/>
    </row>
    <row r="69">
      <c r="L69" s="10"/>
      <c r="M69" s="10"/>
    </row>
    <row r="70">
      <c r="L70" s="10"/>
      <c r="M70" s="10"/>
    </row>
    <row r="71">
      <c r="L71" s="10"/>
      <c r="M71" s="10"/>
    </row>
    <row r="72">
      <c r="L72" s="10"/>
      <c r="M72" s="10"/>
    </row>
    <row r="73">
      <c r="L73" s="10"/>
      <c r="M73" s="10"/>
    </row>
    <row r="74">
      <c r="L74" s="10"/>
      <c r="M74" s="10"/>
    </row>
    <row r="75">
      <c r="L75" s="10"/>
      <c r="M75" s="10"/>
    </row>
    <row r="76">
      <c r="L76" s="10"/>
      <c r="M76" s="10"/>
    </row>
    <row r="77">
      <c r="L77" s="10"/>
      <c r="M77" s="10"/>
    </row>
    <row r="78">
      <c r="L78" s="10"/>
      <c r="M78" s="10"/>
    </row>
    <row r="79">
      <c r="L79" s="10"/>
      <c r="M79" s="10"/>
    </row>
    <row r="80">
      <c r="L80" s="10"/>
      <c r="M80" s="10"/>
    </row>
    <row r="81">
      <c r="L81" s="10"/>
      <c r="M81" s="10"/>
    </row>
    <row r="82">
      <c r="L82" s="10"/>
      <c r="M82" s="10"/>
    </row>
    <row r="83">
      <c r="L83" s="10"/>
      <c r="M83" s="10"/>
    </row>
    <row r="84">
      <c r="L84" s="10"/>
      <c r="M84" s="10"/>
    </row>
    <row r="85">
      <c r="L85" s="10"/>
      <c r="M85" s="10"/>
    </row>
    <row r="86">
      <c r="L86" s="10"/>
      <c r="M86" s="10"/>
    </row>
    <row r="87">
      <c r="L87" s="10"/>
      <c r="M87" s="10"/>
    </row>
    <row r="88">
      <c r="L88" s="10"/>
      <c r="M88" s="10"/>
    </row>
    <row r="89">
      <c r="L89" s="10"/>
      <c r="M89" s="10"/>
    </row>
    <row r="90">
      <c r="L90" s="10"/>
      <c r="M90" s="10"/>
    </row>
    <row r="91">
      <c r="L91" s="10"/>
      <c r="M91" s="10"/>
    </row>
    <row r="92">
      <c r="L92" s="10"/>
      <c r="M92" s="10"/>
    </row>
    <row r="93">
      <c r="L93" s="10"/>
      <c r="M93" s="10"/>
    </row>
    <row r="94">
      <c r="L94" s="10"/>
      <c r="M94" s="10"/>
    </row>
    <row r="95">
      <c r="L95" s="10"/>
      <c r="M95" s="10"/>
    </row>
    <row r="96">
      <c r="L96" s="10"/>
      <c r="M96" s="10"/>
    </row>
    <row r="97">
      <c r="L97" s="10"/>
      <c r="M97" s="10"/>
    </row>
    <row r="98">
      <c r="L98" s="10"/>
      <c r="M98" s="10"/>
    </row>
    <row r="99">
      <c r="L99" s="10"/>
      <c r="M99" s="10"/>
    </row>
    <row r="100">
      <c r="L100" s="10"/>
      <c r="M100" s="10"/>
    </row>
    <row r="101">
      <c r="L101" s="10"/>
      <c r="M101" s="10"/>
    </row>
    <row r="102">
      <c r="L102" s="10"/>
      <c r="M102" s="10"/>
    </row>
    <row r="103">
      <c r="L103" s="10"/>
      <c r="M103" s="10"/>
    </row>
    <row r="104">
      <c r="L104" s="10"/>
      <c r="M104" s="10"/>
    </row>
    <row r="105">
      <c r="L105" s="10"/>
      <c r="M105" s="10"/>
    </row>
    <row r="106">
      <c r="L106" s="10"/>
      <c r="M106" s="10"/>
    </row>
    <row r="107">
      <c r="L107" s="10"/>
      <c r="M107" s="10"/>
    </row>
    <row r="108">
      <c r="L108" s="10"/>
      <c r="M108" s="10"/>
    </row>
    <row r="109">
      <c r="L109" s="10"/>
      <c r="M109" s="10"/>
    </row>
    <row r="110">
      <c r="L110" s="10"/>
      <c r="M110" s="10"/>
    </row>
    <row r="111">
      <c r="L111" s="10"/>
      <c r="M111" s="10"/>
    </row>
    <row r="112">
      <c r="L112" s="10"/>
      <c r="M112" s="10"/>
    </row>
    <row r="113">
      <c r="L113" s="10"/>
      <c r="M113" s="10"/>
    </row>
    <row r="114">
      <c r="L114" s="10"/>
      <c r="M114" s="10"/>
    </row>
    <row r="115">
      <c r="L115" s="10"/>
      <c r="M115" s="10"/>
    </row>
    <row r="116">
      <c r="L116" s="10"/>
      <c r="M116" s="10"/>
    </row>
    <row r="117">
      <c r="L117" s="10"/>
      <c r="M117" s="10"/>
    </row>
    <row r="118">
      <c r="L118" s="10"/>
      <c r="M118" s="10"/>
    </row>
    <row r="119">
      <c r="L119" s="10"/>
      <c r="M119" s="10"/>
    </row>
    <row r="120">
      <c r="L120" s="10"/>
      <c r="M120" s="10"/>
    </row>
    <row r="121">
      <c r="L121" s="10"/>
      <c r="M121" s="10"/>
    </row>
    <row r="122">
      <c r="L122" s="10"/>
      <c r="M122" s="10"/>
    </row>
    <row r="123">
      <c r="L123" s="10"/>
      <c r="M123" s="10"/>
    </row>
    <row r="124">
      <c r="L124" s="10"/>
      <c r="M124" s="10"/>
    </row>
    <row r="125">
      <c r="L125" s="10"/>
      <c r="M125" s="10"/>
    </row>
    <row r="126">
      <c r="L126" s="10"/>
      <c r="M126" s="10"/>
    </row>
    <row r="127">
      <c r="L127" s="10"/>
      <c r="M127" s="10"/>
    </row>
    <row r="128">
      <c r="L128" s="10"/>
      <c r="M128" s="10"/>
    </row>
    <row r="129">
      <c r="L129" s="10"/>
      <c r="M129" s="10"/>
    </row>
    <row r="130">
      <c r="L130" s="10"/>
      <c r="M130" s="10"/>
    </row>
    <row r="131">
      <c r="L131" s="10"/>
      <c r="M131" s="10"/>
    </row>
    <row r="132">
      <c r="L132" s="10"/>
      <c r="M132" s="10"/>
    </row>
    <row r="133">
      <c r="L133" s="10"/>
      <c r="M133" s="10"/>
    </row>
    <row r="134">
      <c r="L134" s="10"/>
      <c r="M134" s="10"/>
    </row>
    <row r="135">
      <c r="L135" s="10"/>
      <c r="M135" s="10"/>
    </row>
    <row r="136">
      <c r="L136" s="10"/>
      <c r="M136" s="10"/>
    </row>
    <row r="137">
      <c r="L137" s="10"/>
      <c r="M137" s="10"/>
    </row>
    <row r="138">
      <c r="L138" s="10"/>
      <c r="M138" s="10"/>
    </row>
    <row r="139">
      <c r="L139" s="10"/>
      <c r="M139" s="10"/>
    </row>
    <row r="140">
      <c r="L140" s="10"/>
      <c r="M140" s="10"/>
    </row>
    <row r="141">
      <c r="L141" s="10"/>
      <c r="M141" s="10"/>
    </row>
    <row r="142">
      <c r="L142" s="10"/>
      <c r="M142" s="10"/>
    </row>
    <row r="143">
      <c r="L143" s="10"/>
      <c r="M143" s="10"/>
    </row>
    <row r="144">
      <c r="L144" s="10"/>
      <c r="M144" s="10"/>
    </row>
    <row r="145">
      <c r="L145" s="10"/>
      <c r="M145" s="10"/>
    </row>
    <row r="146">
      <c r="L146" s="10"/>
      <c r="M146" s="10"/>
    </row>
    <row r="147">
      <c r="L147" s="10"/>
      <c r="M147" s="10"/>
    </row>
    <row r="148">
      <c r="L148" s="10"/>
      <c r="M148" s="10"/>
    </row>
    <row r="149">
      <c r="L149" s="10"/>
      <c r="M149" s="10"/>
    </row>
    <row r="150">
      <c r="L150" s="10"/>
      <c r="M150" s="10"/>
    </row>
    <row r="151">
      <c r="L151" s="10"/>
      <c r="M151" s="10"/>
    </row>
    <row r="152">
      <c r="L152" s="10"/>
      <c r="M152" s="10"/>
    </row>
    <row r="153">
      <c r="L153" s="10"/>
      <c r="M153" s="10"/>
    </row>
    <row r="154">
      <c r="L154" s="10"/>
      <c r="M154" s="10"/>
    </row>
    <row r="155">
      <c r="L155" s="10"/>
      <c r="M155" s="10"/>
    </row>
    <row r="156">
      <c r="L156" s="10"/>
      <c r="M156" s="10"/>
    </row>
    <row r="157">
      <c r="L157" s="10"/>
      <c r="M157" s="10"/>
    </row>
    <row r="158">
      <c r="L158" s="10"/>
      <c r="M158" s="10"/>
    </row>
    <row r="159">
      <c r="L159" s="10"/>
      <c r="M159" s="10"/>
    </row>
    <row r="160">
      <c r="L160" s="10"/>
      <c r="M160" s="10"/>
    </row>
    <row r="161">
      <c r="L161" s="10"/>
      <c r="M161" s="10"/>
    </row>
    <row r="162">
      <c r="L162" s="10"/>
      <c r="M162" s="10"/>
    </row>
    <row r="163">
      <c r="L163" s="10"/>
      <c r="M163" s="10"/>
    </row>
    <row r="164">
      <c r="L164" s="10"/>
      <c r="M164" s="10"/>
    </row>
    <row r="165">
      <c r="L165" s="10"/>
      <c r="M165" s="10"/>
    </row>
    <row r="166">
      <c r="L166" s="10"/>
      <c r="M166" s="10"/>
    </row>
    <row r="167">
      <c r="L167" s="10"/>
      <c r="M167" s="10"/>
    </row>
    <row r="168">
      <c r="L168" s="10"/>
      <c r="M168" s="10"/>
    </row>
    <row r="169">
      <c r="L169" s="10"/>
      <c r="M169" s="10"/>
    </row>
    <row r="170">
      <c r="L170" s="10"/>
      <c r="M170" s="10"/>
    </row>
    <row r="171">
      <c r="L171" s="10"/>
      <c r="M171" s="10"/>
    </row>
    <row r="172">
      <c r="L172" s="10"/>
      <c r="M172" s="10"/>
    </row>
    <row r="173">
      <c r="L173" s="10"/>
      <c r="M173" s="10"/>
    </row>
    <row r="174">
      <c r="L174" s="10"/>
      <c r="M174" s="10"/>
    </row>
    <row r="175">
      <c r="L175" s="10"/>
      <c r="M175" s="10"/>
    </row>
    <row r="176">
      <c r="L176" s="10"/>
      <c r="M176" s="10"/>
    </row>
    <row r="177">
      <c r="L177" s="10"/>
      <c r="M177" s="10"/>
    </row>
    <row r="178">
      <c r="L178" s="10"/>
      <c r="M178" s="10"/>
    </row>
    <row r="179">
      <c r="L179" s="10"/>
      <c r="M179" s="10"/>
    </row>
    <row r="180">
      <c r="L180" s="10"/>
      <c r="M180" s="10"/>
    </row>
    <row r="181">
      <c r="L181" s="10"/>
      <c r="M181" s="10"/>
    </row>
    <row r="182">
      <c r="L182" s="10"/>
      <c r="M182" s="10"/>
    </row>
    <row r="183">
      <c r="L183" s="10"/>
      <c r="M183" s="10"/>
    </row>
    <row r="184">
      <c r="L184" s="10"/>
      <c r="M184" s="10"/>
    </row>
    <row r="185">
      <c r="L185" s="10"/>
      <c r="M185" s="10"/>
    </row>
    <row r="186">
      <c r="L186" s="10"/>
      <c r="M186" s="10"/>
    </row>
    <row r="187">
      <c r="L187" s="10"/>
      <c r="M187" s="10"/>
    </row>
    <row r="188">
      <c r="L188" s="10"/>
      <c r="M188" s="10"/>
    </row>
    <row r="189">
      <c r="L189" s="10"/>
      <c r="M189" s="10"/>
    </row>
    <row r="190">
      <c r="L190" s="10"/>
      <c r="M190" s="10"/>
    </row>
    <row r="191">
      <c r="L191" s="10"/>
      <c r="M191" s="10"/>
    </row>
    <row r="192">
      <c r="L192" s="10"/>
      <c r="M192" s="10"/>
    </row>
    <row r="193">
      <c r="L193" s="10"/>
      <c r="M193" s="10"/>
    </row>
    <row r="194">
      <c r="L194" s="10"/>
      <c r="M194" s="10"/>
    </row>
    <row r="195">
      <c r="L195" s="10"/>
      <c r="M195" s="10"/>
    </row>
    <row r="196">
      <c r="L196" s="10"/>
      <c r="M196" s="10"/>
    </row>
    <row r="197">
      <c r="L197" s="10"/>
      <c r="M197" s="10"/>
    </row>
    <row r="198">
      <c r="L198" s="10"/>
      <c r="M198" s="10"/>
    </row>
    <row r="199">
      <c r="L199" s="10"/>
      <c r="M199" s="10"/>
    </row>
    <row r="200">
      <c r="L200" s="10"/>
      <c r="M200" s="10"/>
    </row>
    <row r="201">
      <c r="L201" s="10"/>
      <c r="M201" s="10"/>
    </row>
    <row r="202">
      <c r="L202" s="10"/>
      <c r="M202" s="10"/>
    </row>
    <row r="203">
      <c r="L203" s="10"/>
      <c r="M203" s="10"/>
    </row>
    <row r="204">
      <c r="L204" s="10"/>
      <c r="M204" s="10"/>
    </row>
    <row r="205">
      <c r="L205" s="10"/>
      <c r="M205" s="10"/>
    </row>
    <row r="206">
      <c r="L206" s="10"/>
      <c r="M206" s="10"/>
    </row>
    <row r="207">
      <c r="L207" s="10"/>
      <c r="M207" s="10"/>
    </row>
    <row r="208">
      <c r="L208" s="10"/>
      <c r="M208" s="10"/>
    </row>
    <row r="209">
      <c r="L209" s="10"/>
      <c r="M209" s="10"/>
    </row>
    <row r="210">
      <c r="L210" s="10"/>
      <c r="M210" s="10"/>
    </row>
    <row r="211">
      <c r="L211" s="10"/>
      <c r="M211" s="10"/>
    </row>
    <row r="212">
      <c r="L212" s="10"/>
      <c r="M212" s="10"/>
    </row>
    <row r="213">
      <c r="L213" s="10"/>
      <c r="M213" s="10"/>
    </row>
    <row r="214">
      <c r="L214" s="10"/>
      <c r="M214" s="10"/>
    </row>
    <row r="215">
      <c r="L215" s="10"/>
      <c r="M215" s="10"/>
    </row>
    <row r="216">
      <c r="L216" s="10"/>
      <c r="M216" s="10"/>
    </row>
    <row r="217">
      <c r="L217" s="10"/>
      <c r="M217" s="10"/>
    </row>
    <row r="218">
      <c r="L218" s="10"/>
      <c r="M218" s="10"/>
    </row>
    <row r="219">
      <c r="L219" s="10"/>
      <c r="M219" s="10"/>
    </row>
    <row r="220">
      <c r="L220" s="10"/>
      <c r="M220" s="10"/>
    </row>
    <row r="221">
      <c r="L221" s="10"/>
      <c r="M221" s="10"/>
    </row>
    <row r="222">
      <c r="L222" s="10"/>
      <c r="M222" s="10"/>
    </row>
    <row r="223">
      <c r="L223" s="10"/>
      <c r="M223" s="10"/>
    </row>
    <row r="224">
      <c r="L224" s="10"/>
      <c r="M224" s="10"/>
    </row>
    <row r="225">
      <c r="L225" s="10"/>
      <c r="M225" s="10"/>
    </row>
    <row r="226">
      <c r="L226" s="10"/>
      <c r="M226" s="10"/>
    </row>
    <row r="227">
      <c r="L227" s="10"/>
      <c r="M227" s="10"/>
    </row>
    <row r="228">
      <c r="L228" s="10"/>
      <c r="M228" s="10"/>
    </row>
    <row r="229">
      <c r="L229" s="10"/>
      <c r="M229" s="10"/>
    </row>
    <row r="230">
      <c r="L230" s="10"/>
      <c r="M230" s="10"/>
    </row>
    <row r="231">
      <c r="L231" s="10"/>
      <c r="M231" s="10"/>
    </row>
    <row r="232">
      <c r="L232" s="10"/>
      <c r="M232" s="10"/>
    </row>
    <row r="233">
      <c r="L233" s="10"/>
      <c r="M233" s="10"/>
    </row>
    <row r="234">
      <c r="L234" s="10"/>
      <c r="M234" s="10"/>
    </row>
    <row r="235">
      <c r="L235" s="10"/>
      <c r="M235" s="10"/>
    </row>
    <row r="236">
      <c r="L236" s="10"/>
      <c r="M236" s="10"/>
    </row>
    <row r="237">
      <c r="L237" s="10"/>
      <c r="M237" s="10"/>
    </row>
    <row r="238">
      <c r="L238" s="10"/>
      <c r="M238" s="10"/>
    </row>
    <row r="239">
      <c r="L239" s="10"/>
      <c r="M239" s="10"/>
    </row>
    <row r="240">
      <c r="L240" s="10"/>
      <c r="M240" s="10"/>
    </row>
    <row r="241">
      <c r="L241" s="10"/>
      <c r="M241" s="10"/>
    </row>
    <row r="242">
      <c r="L242" s="10"/>
      <c r="M242" s="10"/>
    </row>
    <row r="243">
      <c r="L243" s="10"/>
      <c r="M243" s="10"/>
    </row>
    <row r="244">
      <c r="L244" s="10"/>
      <c r="M244" s="10"/>
    </row>
    <row r="245">
      <c r="L245" s="10"/>
      <c r="M245" s="10"/>
    </row>
    <row r="246">
      <c r="L246" s="10"/>
      <c r="M246" s="10"/>
    </row>
    <row r="247">
      <c r="L247" s="10"/>
      <c r="M247" s="10"/>
    </row>
    <row r="248">
      <c r="L248" s="10"/>
      <c r="M248" s="10"/>
    </row>
    <row r="249">
      <c r="L249" s="10"/>
      <c r="M249" s="10"/>
    </row>
    <row r="250">
      <c r="L250" s="10"/>
      <c r="M250" s="10"/>
    </row>
    <row r="251">
      <c r="L251" s="10"/>
      <c r="M251" s="10"/>
    </row>
    <row r="252">
      <c r="L252" s="10"/>
      <c r="M252" s="10"/>
    </row>
    <row r="253">
      <c r="L253" s="10"/>
      <c r="M253" s="10"/>
    </row>
    <row r="254">
      <c r="L254" s="10"/>
      <c r="M254" s="10"/>
    </row>
    <row r="255">
      <c r="L255" s="10"/>
      <c r="M255" s="10"/>
    </row>
    <row r="256">
      <c r="L256" s="10"/>
      <c r="M256" s="10"/>
    </row>
    <row r="257">
      <c r="L257" s="10"/>
      <c r="M257" s="10"/>
    </row>
    <row r="258">
      <c r="L258" s="10"/>
      <c r="M258" s="10"/>
    </row>
    <row r="259">
      <c r="L259" s="10"/>
      <c r="M259" s="10"/>
    </row>
    <row r="260">
      <c r="L260" s="10"/>
      <c r="M260" s="10"/>
    </row>
    <row r="261">
      <c r="L261" s="10"/>
      <c r="M261" s="10"/>
    </row>
    <row r="262">
      <c r="L262" s="10"/>
      <c r="M262" s="10"/>
    </row>
    <row r="263">
      <c r="L263" s="10"/>
      <c r="M263" s="10"/>
    </row>
    <row r="264">
      <c r="L264" s="10"/>
      <c r="M264" s="10"/>
    </row>
    <row r="265">
      <c r="L265" s="10"/>
      <c r="M265" s="10"/>
    </row>
    <row r="266">
      <c r="L266" s="10"/>
      <c r="M266" s="10"/>
    </row>
    <row r="267">
      <c r="L267" s="10"/>
      <c r="M267" s="10"/>
    </row>
    <row r="268">
      <c r="L268" s="10"/>
      <c r="M268" s="10"/>
    </row>
    <row r="269">
      <c r="L269" s="10"/>
      <c r="M269" s="10"/>
    </row>
    <row r="270">
      <c r="L270" s="10"/>
      <c r="M270" s="10"/>
    </row>
    <row r="271">
      <c r="L271" s="10"/>
      <c r="M271" s="10"/>
    </row>
    <row r="272">
      <c r="L272" s="10"/>
      <c r="M272" s="10"/>
    </row>
    <row r="273">
      <c r="L273" s="10"/>
      <c r="M273" s="10"/>
    </row>
    <row r="274">
      <c r="L274" s="10"/>
      <c r="M274" s="10"/>
    </row>
    <row r="275">
      <c r="L275" s="10"/>
      <c r="M275" s="10"/>
    </row>
    <row r="276">
      <c r="L276" s="10"/>
      <c r="M276" s="10"/>
    </row>
    <row r="277">
      <c r="L277" s="10"/>
      <c r="M277" s="10"/>
    </row>
    <row r="278">
      <c r="L278" s="10"/>
      <c r="M278" s="10"/>
    </row>
    <row r="279">
      <c r="L279" s="10"/>
      <c r="M279" s="10"/>
    </row>
    <row r="280">
      <c r="L280" s="10"/>
      <c r="M280" s="10"/>
    </row>
    <row r="281">
      <c r="L281" s="10"/>
      <c r="M281" s="10"/>
    </row>
    <row r="282">
      <c r="L282" s="10"/>
      <c r="M282" s="10"/>
    </row>
    <row r="283">
      <c r="L283" s="10"/>
      <c r="M283" s="10"/>
    </row>
    <row r="284">
      <c r="L284" s="10"/>
      <c r="M284" s="10"/>
    </row>
    <row r="285">
      <c r="L285" s="10"/>
      <c r="M285" s="10"/>
    </row>
    <row r="286">
      <c r="L286" s="10"/>
      <c r="M286" s="10"/>
    </row>
    <row r="287">
      <c r="L287" s="10"/>
      <c r="M287" s="10"/>
    </row>
    <row r="288">
      <c r="L288" s="10"/>
      <c r="M288" s="10"/>
    </row>
    <row r="289">
      <c r="L289" s="10"/>
      <c r="M289" s="10"/>
    </row>
    <row r="290">
      <c r="L290" s="10"/>
      <c r="M290" s="10"/>
    </row>
    <row r="291">
      <c r="L291" s="10"/>
      <c r="M291" s="10"/>
    </row>
    <row r="292">
      <c r="L292" s="10"/>
      <c r="M292" s="10"/>
    </row>
    <row r="293">
      <c r="L293" s="10"/>
      <c r="M293" s="10"/>
    </row>
    <row r="294">
      <c r="L294" s="10"/>
      <c r="M294" s="10"/>
    </row>
    <row r="295">
      <c r="L295" s="10"/>
      <c r="M295" s="10"/>
    </row>
    <row r="296">
      <c r="L296" s="10"/>
      <c r="M296" s="10"/>
    </row>
    <row r="297">
      <c r="L297" s="10"/>
      <c r="M297" s="10"/>
    </row>
    <row r="298">
      <c r="L298" s="10"/>
      <c r="M298" s="10"/>
    </row>
    <row r="299">
      <c r="L299" s="10"/>
      <c r="M299" s="10"/>
    </row>
    <row r="300">
      <c r="L300" s="10"/>
      <c r="M300" s="10"/>
    </row>
    <row r="301">
      <c r="L301" s="10"/>
      <c r="M301" s="10"/>
    </row>
    <row r="302">
      <c r="L302" s="10"/>
      <c r="M302" s="10"/>
    </row>
    <row r="303">
      <c r="L303" s="10"/>
      <c r="M303" s="10"/>
    </row>
    <row r="304">
      <c r="L304" s="10"/>
      <c r="M304" s="10"/>
    </row>
    <row r="305">
      <c r="L305" s="10"/>
      <c r="M305" s="10"/>
    </row>
    <row r="306">
      <c r="L306" s="10"/>
      <c r="M306" s="10"/>
    </row>
    <row r="307">
      <c r="L307" s="10"/>
      <c r="M307" s="10"/>
    </row>
    <row r="308">
      <c r="L308" s="10"/>
      <c r="M308" s="10"/>
    </row>
    <row r="309">
      <c r="L309" s="10"/>
      <c r="M309" s="10"/>
    </row>
    <row r="310">
      <c r="L310" s="10"/>
      <c r="M310" s="10"/>
    </row>
    <row r="311">
      <c r="L311" s="10"/>
      <c r="M311" s="10"/>
    </row>
    <row r="312">
      <c r="L312" s="10"/>
      <c r="M312" s="10"/>
    </row>
    <row r="313">
      <c r="L313" s="10"/>
      <c r="M313" s="10"/>
    </row>
    <row r="314">
      <c r="L314" s="10"/>
      <c r="M314" s="10"/>
    </row>
    <row r="315">
      <c r="L315" s="10"/>
      <c r="M315" s="10"/>
    </row>
    <row r="316">
      <c r="L316" s="10"/>
      <c r="M316" s="10"/>
    </row>
    <row r="317">
      <c r="L317" s="10"/>
      <c r="M317" s="10"/>
    </row>
    <row r="318">
      <c r="L318" s="10"/>
      <c r="M318" s="10"/>
    </row>
    <row r="319">
      <c r="L319" s="10"/>
      <c r="M319" s="10"/>
    </row>
    <row r="320">
      <c r="L320" s="10"/>
      <c r="M320" s="10"/>
    </row>
    <row r="321">
      <c r="L321" s="10"/>
      <c r="M321" s="10"/>
    </row>
    <row r="322">
      <c r="L322" s="10"/>
      <c r="M322" s="10"/>
    </row>
    <row r="323">
      <c r="L323" s="10"/>
      <c r="M323" s="10"/>
    </row>
    <row r="324">
      <c r="L324" s="10"/>
      <c r="M324" s="10"/>
    </row>
    <row r="325">
      <c r="L325" s="10"/>
      <c r="M325" s="10"/>
    </row>
    <row r="326">
      <c r="L326" s="10"/>
      <c r="M326" s="10"/>
    </row>
    <row r="327">
      <c r="L327" s="10"/>
      <c r="M327" s="10"/>
    </row>
    <row r="328">
      <c r="L328" s="10"/>
      <c r="M328" s="10"/>
    </row>
    <row r="329">
      <c r="L329" s="10"/>
      <c r="M329" s="10"/>
    </row>
    <row r="330">
      <c r="L330" s="10"/>
      <c r="M330" s="10"/>
    </row>
    <row r="331">
      <c r="L331" s="10"/>
      <c r="M331" s="10"/>
    </row>
    <row r="332">
      <c r="L332" s="10"/>
      <c r="M332" s="10"/>
    </row>
    <row r="333">
      <c r="L333" s="10"/>
      <c r="M333" s="10"/>
    </row>
    <row r="334">
      <c r="L334" s="10"/>
      <c r="M334" s="10"/>
    </row>
    <row r="335">
      <c r="L335" s="10"/>
      <c r="M335" s="10"/>
    </row>
    <row r="336">
      <c r="L336" s="10"/>
      <c r="M336" s="10"/>
    </row>
    <row r="337">
      <c r="L337" s="10"/>
      <c r="M337" s="10"/>
    </row>
    <row r="338">
      <c r="L338" s="10"/>
      <c r="M338" s="10"/>
    </row>
    <row r="339">
      <c r="L339" s="10"/>
      <c r="M339" s="10"/>
    </row>
    <row r="340">
      <c r="L340" s="10"/>
      <c r="M340" s="10"/>
    </row>
    <row r="341">
      <c r="L341" s="10"/>
      <c r="M341" s="10"/>
    </row>
    <row r="342">
      <c r="L342" s="10"/>
      <c r="M342" s="10"/>
    </row>
    <row r="343">
      <c r="L343" s="10"/>
      <c r="M343" s="10"/>
    </row>
    <row r="344">
      <c r="L344" s="10"/>
      <c r="M344" s="10"/>
    </row>
    <row r="345">
      <c r="L345" s="10"/>
      <c r="M345" s="10"/>
    </row>
    <row r="346">
      <c r="L346" s="10"/>
      <c r="M346" s="10"/>
    </row>
    <row r="347">
      <c r="L347" s="10"/>
      <c r="M347" s="10"/>
    </row>
    <row r="348">
      <c r="L348" s="10"/>
      <c r="M348" s="10"/>
    </row>
    <row r="349">
      <c r="L349" s="10"/>
      <c r="M349" s="10"/>
    </row>
    <row r="350">
      <c r="L350" s="10"/>
      <c r="M350" s="10"/>
    </row>
    <row r="351">
      <c r="L351" s="10"/>
      <c r="M351" s="10"/>
    </row>
    <row r="352">
      <c r="L352" s="10"/>
      <c r="M352" s="10"/>
    </row>
    <row r="353">
      <c r="L353" s="10"/>
      <c r="M353" s="10"/>
    </row>
    <row r="354">
      <c r="L354" s="10"/>
      <c r="M354" s="10"/>
    </row>
    <row r="355">
      <c r="L355" s="10"/>
      <c r="M355" s="10"/>
    </row>
    <row r="356">
      <c r="L356" s="10"/>
      <c r="M356" s="10"/>
    </row>
    <row r="357">
      <c r="L357" s="10"/>
      <c r="M357" s="10"/>
    </row>
    <row r="358">
      <c r="L358" s="10"/>
      <c r="M358" s="10"/>
    </row>
    <row r="359">
      <c r="L359" s="10"/>
      <c r="M359" s="10"/>
    </row>
    <row r="360">
      <c r="L360" s="10"/>
      <c r="M360" s="10"/>
    </row>
    <row r="361">
      <c r="L361" s="10"/>
      <c r="M361" s="10"/>
    </row>
    <row r="362">
      <c r="L362" s="10"/>
      <c r="M362" s="10"/>
    </row>
    <row r="363">
      <c r="L363" s="10"/>
      <c r="M363" s="10"/>
    </row>
    <row r="364">
      <c r="L364" s="10"/>
      <c r="M364" s="10"/>
    </row>
    <row r="365">
      <c r="L365" s="10"/>
      <c r="M365" s="10"/>
    </row>
    <row r="366">
      <c r="L366" s="10"/>
      <c r="M366" s="10"/>
    </row>
    <row r="367">
      <c r="L367" s="10"/>
      <c r="M367" s="10"/>
    </row>
    <row r="368">
      <c r="L368" s="10"/>
      <c r="M368" s="10"/>
    </row>
    <row r="369">
      <c r="L369" s="10"/>
      <c r="M369" s="10"/>
    </row>
    <row r="370">
      <c r="L370" s="10"/>
      <c r="M370" s="10"/>
    </row>
    <row r="371">
      <c r="L371" s="10"/>
      <c r="M371" s="10"/>
    </row>
    <row r="372">
      <c r="L372" s="10"/>
      <c r="M372" s="10"/>
    </row>
    <row r="373">
      <c r="L373" s="10"/>
      <c r="M373" s="10"/>
    </row>
    <row r="374">
      <c r="L374" s="10"/>
      <c r="M374" s="10"/>
    </row>
    <row r="375">
      <c r="L375" s="10"/>
      <c r="M375" s="10"/>
    </row>
    <row r="376">
      <c r="L376" s="10"/>
      <c r="M376" s="10"/>
    </row>
    <row r="377">
      <c r="L377" s="10"/>
      <c r="M377" s="10"/>
    </row>
    <row r="378">
      <c r="L378" s="10"/>
      <c r="M378" s="10"/>
    </row>
    <row r="379">
      <c r="L379" s="10"/>
      <c r="M379" s="10"/>
    </row>
    <row r="380">
      <c r="L380" s="10"/>
      <c r="M380" s="10"/>
    </row>
    <row r="381">
      <c r="L381" s="10"/>
      <c r="M381" s="10"/>
    </row>
    <row r="382">
      <c r="L382" s="10"/>
      <c r="M382" s="10"/>
    </row>
    <row r="383">
      <c r="L383" s="10"/>
      <c r="M383" s="10"/>
    </row>
    <row r="384">
      <c r="L384" s="10"/>
      <c r="M384" s="10"/>
    </row>
    <row r="385">
      <c r="L385" s="10"/>
      <c r="M385" s="10"/>
    </row>
    <row r="386">
      <c r="L386" s="10"/>
      <c r="M386" s="10"/>
    </row>
    <row r="387">
      <c r="L387" s="10"/>
      <c r="M387" s="10"/>
    </row>
    <row r="388">
      <c r="L388" s="10"/>
      <c r="M388" s="10"/>
    </row>
    <row r="389">
      <c r="L389" s="10"/>
      <c r="M389" s="10"/>
    </row>
    <row r="390">
      <c r="L390" s="10"/>
      <c r="M390" s="10"/>
    </row>
    <row r="391">
      <c r="L391" s="10"/>
      <c r="M391" s="10"/>
    </row>
    <row r="392">
      <c r="L392" s="10"/>
      <c r="M392" s="10"/>
    </row>
    <row r="393">
      <c r="L393" s="10"/>
      <c r="M393" s="10"/>
    </row>
    <row r="394">
      <c r="L394" s="10"/>
      <c r="M394" s="10"/>
    </row>
    <row r="395">
      <c r="L395" s="10"/>
      <c r="M395" s="10"/>
    </row>
    <row r="396">
      <c r="L396" s="10"/>
      <c r="M396" s="10"/>
    </row>
    <row r="397">
      <c r="L397" s="10"/>
      <c r="M397" s="10"/>
    </row>
    <row r="398">
      <c r="L398" s="10"/>
      <c r="M398" s="10"/>
    </row>
    <row r="399">
      <c r="L399" s="10"/>
      <c r="M399" s="10"/>
    </row>
    <row r="400">
      <c r="L400" s="10"/>
      <c r="M400" s="10"/>
    </row>
    <row r="401">
      <c r="L401" s="10"/>
      <c r="M401" s="10"/>
    </row>
    <row r="402">
      <c r="L402" s="10"/>
      <c r="M402" s="10"/>
    </row>
    <row r="403">
      <c r="L403" s="10"/>
      <c r="M403" s="10"/>
    </row>
    <row r="404">
      <c r="L404" s="10"/>
      <c r="M404" s="10"/>
    </row>
    <row r="405">
      <c r="L405" s="10"/>
      <c r="M405" s="10"/>
    </row>
    <row r="406">
      <c r="L406" s="10"/>
      <c r="M406" s="10"/>
    </row>
    <row r="407">
      <c r="L407" s="10"/>
      <c r="M407" s="10"/>
    </row>
    <row r="408">
      <c r="L408" s="10"/>
      <c r="M408" s="10"/>
    </row>
    <row r="409">
      <c r="L409" s="10"/>
      <c r="M409" s="10"/>
    </row>
    <row r="410">
      <c r="L410" s="10"/>
      <c r="M410" s="10"/>
    </row>
    <row r="411">
      <c r="L411" s="10"/>
      <c r="M411" s="10"/>
    </row>
    <row r="412">
      <c r="L412" s="10"/>
      <c r="M412" s="10"/>
    </row>
    <row r="413">
      <c r="L413" s="10"/>
      <c r="M413" s="10"/>
    </row>
    <row r="414">
      <c r="L414" s="10"/>
      <c r="M414" s="10"/>
    </row>
    <row r="415">
      <c r="L415" s="10"/>
      <c r="M415" s="10"/>
    </row>
    <row r="416">
      <c r="L416" s="10"/>
      <c r="M416" s="10"/>
    </row>
    <row r="417">
      <c r="L417" s="10"/>
      <c r="M417" s="10"/>
    </row>
    <row r="418">
      <c r="L418" s="10"/>
      <c r="M418" s="10"/>
    </row>
    <row r="419">
      <c r="L419" s="10"/>
      <c r="M419" s="10"/>
    </row>
    <row r="420">
      <c r="L420" s="10"/>
      <c r="M420" s="10"/>
    </row>
    <row r="421">
      <c r="L421" s="10"/>
      <c r="M421" s="10"/>
    </row>
    <row r="422">
      <c r="L422" s="10"/>
      <c r="M422" s="10"/>
    </row>
    <row r="423">
      <c r="L423" s="10"/>
      <c r="M423" s="10"/>
    </row>
    <row r="424">
      <c r="L424" s="10"/>
      <c r="M424" s="10"/>
    </row>
    <row r="425">
      <c r="L425" s="10"/>
      <c r="M425" s="10"/>
    </row>
    <row r="426">
      <c r="L426" s="10"/>
      <c r="M426" s="10"/>
    </row>
    <row r="427">
      <c r="L427" s="10"/>
      <c r="M427" s="10"/>
    </row>
    <row r="428">
      <c r="L428" s="10"/>
      <c r="M428" s="10"/>
    </row>
    <row r="429">
      <c r="L429" s="10"/>
      <c r="M429" s="10"/>
    </row>
    <row r="430">
      <c r="L430" s="10"/>
      <c r="M430" s="10"/>
    </row>
    <row r="431">
      <c r="L431" s="10"/>
      <c r="M431" s="10"/>
    </row>
    <row r="432">
      <c r="L432" s="10"/>
      <c r="M432" s="10"/>
    </row>
    <row r="433">
      <c r="L433" s="10"/>
      <c r="M433" s="10"/>
    </row>
    <row r="434">
      <c r="L434" s="10"/>
      <c r="M434" s="10"/>
    </row>
    <row r="435">
      <c r="L435" s="10"/>
      <c r="M435" s="10"/>
    </row>
    <row r="436">
      <c r="L436" s="10"/>
      <c r="M436" s="10"/>
    </row>
    <row r="437">
      <c r="L437" s="10"/>
      <c r="M437" s="10"/>
    </row>
    <row r="438">
      <c r="L438" s="10"/>
      <c r="M438" s="10"/>
    </row>
    <row r="439">
      <c r="L439" s="10"/>
      <c r="M439" s="10"/>
    </row>
    <row r="440">
      <c r="L440" s="10"/>
      <c r="M440" s="10"/>
    </row>
    <row r="441">
      <c r="L441" s="10"/>
      <c r="M441" s="10"/>
    </row>
    <row r="442">
      <c r="L442" s="10"/>
      <c r="M442" s="10"/>
    </row>
    <row r="443">
      <c r="L443" s="10"/>
      <c r="M443" s="10"/>
    </row>
    <row r="444">
      <c r="L444" s="10"/>
      <c r="M444" s="10"/>
    </row>
    <row r="445">
      <c r="L445" s="10"/>
      <c r="M445" s="10"/>
    </row>
    <row r="446">
      <c r="L446" s="10"/>
      <c r="M446" s="10"/>
    </row>
    <row r="447">
      <c r="L447" s="10"/>
      <c r="M447" s="10"/>
    </row>
    <row r="448">
      <c r="L448" s="10"/>
      <c r="M448" s="10"/>
    </row>
    <row r="449">
      <c r="L449" s="10"/>
      <c r="M449" s="10"/>
    </row>
    <row r="450">
      <c r="L450" s="10"/>
      <c r="M450" s="10"/>
    </row>
    <row r="451">
      <c r="L451" s="10"/>
      <c r="M451" s="10"/>
    </row>
    <row r="452">
      <c r="L452" s="10"/>
      <c r="M452" s="10"/>
    </row>
    <row r="453">
      <c r="L453" s="10"/>
      <c r="M453" s="10"/>
    </row>
    <row r="454">
      <c r="L454" s="10"/>
      <c r="M454" s="10"/>
    </row>
    <row r="455">
      <c r="L455" s="10"/>
      <c r="M455" s="10"/>
    </row>
    <row r="456">
      <c r="L456" s="10"/>
      <c r="M456" s="10"/>
    </row>
    <row r="457">
      <c r="L457" s="10"/>
      <c r="M457" s="10"/>
    </row>
    <row r="458">
      <c r="L458" s="10"/>
      <c r="M458" s="10"/>
    </row>
    <row r="459">
      <c r="L459" s="10"/>
      <c r="M459" s="10"/>
    </row>
    <row r="460">
      <c r="L460" s="10"/>
      <c r="M460" s="10"/>
    </row>
    <row r="461">
      <c r="L461" s="10"/>
      <c r="M461" s="10"/>
    </row>
    <row r="462">
      <c r="L462" s="10"/>
      <c r="M462" s="10"/>
    </row>
    <row r="463">
      <c r="L463" s="10"/>
      <c r="M463" s="10"/>
    </row>
    <row r="464">
      <c r="L464" s="10"/>
      <c r="M464" s="10"/>
    </row>
    <row r="465">
      <c r="L465" s="10"/>
      <c r="M465" s="10"/>
    </row>
    <row r="466">
      <c r="L466" s="10"/>
      <c r="M466" s="10"/>
    </row>
    <row r="467">
      <c r="L467" s="10"/>
      <c r="M467" s="10"/>
    </row>
    <row r="468">
      <c r="L468" s="10"/>
      <c r="M468" s="10"/>
    </row>
    <row r="469">
      <c r="L469" s="10"/>
      <c r="M469" s="10"/>
    </row>
    <row r="470">
      <c r="L470" s="10"/>
      <c r="M470" s="10"/>
    </row>
    <row r="471">
      <c r="L471" s="10"/>
      <c r="M471" s="10"/>
    </row>
    <row r="472">
      <c r="L472" s="10"/>
      <c r="M472" s="10"/>
    </row>
    <row r="473">
      <c r="L473" s="10"/>
      <c r="M473" s="10"/>
    </row>
    <row r="474">
      <c r="L474" s="10"/>
      <c r="M474" s="10"/>
    </row>
    <row r="475">
      <c r="L475" s="10"/>
      <c r="M475" s="10"/>
    </row>
    <row r="476">
      <c r="L476" s="10"/>
      <c r="M476" s="10"/>
    </row>
    <row r="477">
      <c r="L477" s="10"/>
      <c r="M477" s="10"/>
    </row>
    <row r="478">
      <c r="L478" s="10"/>
      <c r="M478" s="10"/>
    </row>
    <row r="479">
      <c r="L479" s="10"/>
      <c r="M479" s="10"/>
    </row>
    <row r="480">
      <c r="L480" s="10"/>
      <c r="M480" s="10"/>
    </row>
    <row r="481">
      <c r="L481" s="10"/>
      <c r="M481" s="10"/>
    </row>
    <row r="482">
      <c r="L482" s="10"/>
      <c r="M482" s="10"/>
    </row>
    <row r="483">
      <c r="L483" s="10"/>
      <c r="M483" s="10"/>
    </row>
    <row r="484">
      <c r="L484" s="10"/>
      <c r="M484" s="10"/>
    </row>
    <row r="485">
      <c r="L485" s="10"/>
      <c r="M485" s="10"/>
    </row>
    <row r="486">
      <c r="L486" s="10"/>
      <c r="M486" s="10"/>
    </row>
    <row r="487">
      <c r="L487" s="10"/>
      <c r="M487" s="10"/>
    </row>
    <row r="488">
      <c r="L488" s="10"/>
      <c r="M488" s="10"/>
    </row>
    <row r="489">
      <c r="L489" s="10"/>
      <c r="M489" s="10"/>
    </row>
    <row r="490">
      <c r="L490" s="10"/>
      <c r="M490" s="10"/>
    </row>
    <row r="491">
      <c r="L491" s="10"/>
      <c r="M491" s="10"/>
    </row>
    <row r="492">
      <c r="L492" s="10"/>
      <c r="M492" s="10"/>
    </row>
    <row r="493">
      <c r="L493" s="10"/>
      <c r="M493" s="10"/>
    </row>
    <row r="494">
      <c r="L494" s="10"/>
      <c r="M494" s="10"/>
    </row>
    <row r="495">
      <c r="L495" s="10"/>
      <c r="M495" s="10"/>
    </row>
    <row r="496">
      <c r="L496" s="10"/>
      <c r="M496" s="10"/>
    </row>
    <row r="497">
      <c r="L497" s="10"/>
      <c r="M497" s="10"/>
    </row>
    <row r="498">
      <c r="L498" s="10"/>
      <c r="M498" s="10"/>
    </row>
    <row r="499">
      <c r="L499" s="10"/>
      <c r="M499" s="10"/>
    </row>
    <row r="500">
      <c r="L500" s="10"/>
      <c r="M500" s="10"/>
    </row>
    <row r="501">
      <c r="L501" s="10"/>
      <c r="M501" s="10"/>
    </row>
    <row r="502">
      <c r="L502" s="10"/>
      <c r="M502" s="10"/>
    </row>
    <row r="503">
      <c r="L503" s="10"/>
      <c r="M503" s="10"/>
    </row>
    <row r="504">
      <c r="L504" s="10"/>
      <c r="M504" s="10"/>
    </row>
    <row r="505">
      <c r="L505" s="10"/>
      <c r="M505" s="10"/>
    </row>
    <row r="506">
      <c r="L506" s="10"/>
      <c r="M506" s="10"/>
    </row>
    <row r="507">
      <c r="L507" s="10"/>
      <c r="M507" s="10"/>
    </row>
    <row r="508">
      <c r="L508" s="10"/>
      <c r="M508" s="10"/>
    </row>
    <row r="509">
      <c r="L509" s="10"/>
      <c r="M509" s="10"/>
    </row>
    <row r="510">
      <c r="L510" s="10"/>
      <c r="M510" s="10"/>
    </row>
    <row r="511">
      <c r="L511" s="10"/>
      <c r="M511" s="10"/>
    </row>
    <row r="512">
      <c r="L512" s="10"/>
      <c r="M512" s="10"/>
    </row>
    <row r="513">
      <c r="L513" s="10"/>
      <c r="M513" s="10"/>
    </row>
    <row r="514">
      <c r="L514" s="10"/>
      <c r="M514" s="10"/>
    </row>
    <row r="515">
      <c r="L515" s="10"/>
      <c r="M515" s="10"/>
    </row>
    <row r="516">
      <c r="L516" s="10"/>
      <c r="M516" s="10"/>
    </row>
    <row r="517">
      <c r="L517" s="10"/>
      <c r="M517" s="10"/>
    </row>
    <row r="518">
      <c r="L518" s="10"/>
      <c r="M518" s="10"/>
    </row>
    <row r="519">
      <c r="L519" s="10"/>
      <c r="M519" s="10"/>
    </row>
    <row r="520">
      <c r="L520" s="10"/>
      <c r="M520" s="10"/>
    </row>
    <row r="521">
      <c r="L521" s="10"/>
      <c r="M521" s="10"/>
    </row>
    <row r="522">
      <c r="L522" s="10"/>
      <c r="M522" s="10"/>
    </row>
    <row r="523">
      <c r="L523" s="10"/>
      <c r="M523" s="10"/>
    </row>
    <row r="524">
      <c r="L524" s="10"/>
      <c r="M524" s="10"/>
    </row>
    <row r="525">
      <c r="L525" s="10"/>
      <c r="M525" s="10"/>
    </row>
    <row r="526">
      <c r="L526" s="10"/>
      <c r="M526" s="10"/>
    </row>
    <row r="527">
      <c r="L527" s="10"/>
      <c r="M527" s="10"/>
    </row>
    <row r="528">
      <c r="L528" s="10"/>
      <c r="M528" s="10"/>
    </row>
    <row r="529">
      <c r="L529" s="10"/>
      <c r="M529" s="10"/>
    </row>
    <row r="530">
      <c r="L530" s="10"/>
      <c r="M530" s="10"/>
    </row>
    <row r="531">
      <c r="L531" s="10"/>
      <c r="M531" s="10"/>
    </row>
    <row r="532">
      <c r="L532" s="10"/>
      <c r="M532" s="10"/>
    </row>
    <row r="533">
      <c r="L533" s="10"/>
      <c r="M533" s="10"/>
    </row>
    <row r="534">
      <c r="L534" s="10"/>
      <c r="M534" s="10"/>
    </row>
    <row r="535">
      <c r="L535" s="10"/>
      <c r="M535" s="10"/>
    </row>
    <row r="536">
      <c r="L536" s="10"/>
      <c r="M536" s="10"/>
    </row>
    <row r="537">
      <c r="L537" s="10"/>
      <c r="M537" s="10"/>
    </row>
    <row r="538">
      <c r="L538" s="10"/>
      <c r="M538" s="10"/>
    </row>
    <row r="539">
      <c r="L539" s="10"/>
      <c r="M539" s="10"/>
    </row>
    <row r="540">
      <c r="L540" s="10"/>
      <c r="M540" s="10"/>
    </row>
    <row r="541">
      <c r="L541" s="10"/>
      <c r="M541" s="10"/>
    </row>
    <row r="542">
      <c r="L542" s="10"/>
      <c r="M542" s="10"/>
    </row>
    <row r="543">
      <c r="L543" s="10"/>
      <c r="M543" s="10"/>
    </row>
    <row r="544">
      <c r="L544" s="10"/>
      <c r="M544" s="10"/>
    </row>
    <row r="545">
      <c r="L545" s="10"/>
      <c r="M545" s="10"/>
    </row>
    <row r="546">
      <c r="L546" s="10"/>
      <c r="M546" s="10"/>
    </row>
    <row r="547">
      <c r="L547" s="10"/>
      <c r="M547" s="10"/>
    </row>
    <row r="548">
      <c r="L548" s="10"/>
      <c r="M548" s="10"/>
    </row>
    <row r="549">
      <c r="L549" s="10"/>
      <c r="M549" s="10"/>
    </row>
    <row r="550">
      <c r="L550" s="10"/>
      <c r="M550" s="10"/>
    </row>
    <row r="551">
      <c r="L551" s="10"/>
      <c r="M551" s="10"/>
    </row>
    <row r="552">
      <c r="L552" s="10"/>
      <c r="M552" s="10"/>
    </row>
    <row r="553">
      <c r="L553" s="10"/>
      <c r="M553" s="10"/>
    </row>
    <row r="554">
      <c r="L554" s="10"/>
      <c r="M554" s="10"/>
    </row>
    <row r="555">
      <c r="L555" s="10"/>
      <c r="M555" s="10"/>
    </row>
    <row r="556">
      <c r="L556" s="10"/>
      <c r="M556" s="10"/>
    </row>
    <row r="557">
      <c r="L557" s="10"/>
      <c r="M557" s="10"/>
    </row>
    <row r="558">
      <c r="L558" s="10"/>
      <c r="M558" s="10"/>
    </row>
    <row r="559">
      <c r="L559" s="10"/>
      <c r="M559" s="10"/>
    </row>
    <row r="560">
      <c r="L560" s="10"/>
      <c r="M560" s="10"/>
    </row>
    <row r="561">
      <c r="L561" s="10"/>
      <c r="M561" s="10"/>
    </row>
    <row r="562">
      <c r="L562" s="10"/>
      <c r="M562" s="10"/>
    </row>
    <row r="563">
      <c r="L563" s="10"/>
      <c r="M563" s="10"/>
    </row>
    <row r="564">
      <c r="L564" s="10"/>
      <c r="M564" s="10"/>
    </row>
    <row r="565">
      <c r="L565" s="10"/>
      <c r="M565" s="10"/>
    </row>
    <row r="566">
      <c r="L566" s="10"/>
      <c r="M566" s="10"/>
    </row>
    <row r="567">
      <c r="L567" s="10"/>
      <c r="M567" s="10"/>
    </row>
    <row r="568">
      <c r="L568" s="10"/>
      <c r="M568" s="10"/>
    </row>
    <row r="569">
      <c r="L569" s="10"/>
      <c r="M569" s="10"/>
    </row>
    <row r="570">
      <c r="L570" s="10"/>
      <c r="M570" s="10"/>
    </row>
    <row r="571">
      <c r="L571" s="10"/>
      <c r="M571" s="10"/>
    </row>
    <row r="572">
      <c r="L572" s="10"/>
      <c r="M572" s="10"/>
    </row>
    <row r="573">
      <c r="L573" s="10"/>
      <c r="M573" s="10"/>
    </row>
    <row r="574">
      <c r="L574" s="10"/>
      <c r="M574" s="10"/>
    </row>
    <row r="575">
      <c r="L575" s="10"/>
      <c r="M575" s="10"/>
    </row>
    <row r="576">
      <c r="L576" s="10"/>
      <c r="M576" s="10"/>
    </row>
    <row r="577">
      <c r="L577" s="10"/>
      <c r="M577" s="10"/>
    </row>
    <row r="578">
      <c r="L578" s="10"/>
      <c r="M578" s="10"/>
    </row>
    <row r="579">
      <c r="L579" s="10"/>
      <c r="M579" s="10"/>
    </row>
    <row r="580">
      <c r="L580" s="10"/>
      <c r="M580" s="10"/>
    </row>
    <row r="581">
      <c r="L581" s="10"/>
      <c r="M581" s="10"/>
    </row>
    <row r="582">
      <c r="L582" s="10"/>
      <c r="M582" s="10"/>
    </row>
    <row r="583">
      <c r="L583" s="10"/>
      <c r="M583" s="10"/>
    </row>
    <row r="584">
      <c r="L584" s="10"/>
      <c r="M584" s="10"/>
    </row>
    <row r="585">
      <c r="L585" s="10"/>
      <c r="M585" s="10"/>
    </row>
    <row r="586">
      <c r="L586" s="10"/>
      <c r="M586" s="10"/>
    </row>
    <row r="587">
      <c r="L587" s="10"/>
      <c r="M587" s="10"/>
    </row>
    <row r="588">
      <c r="L588" s="10"/>
      <c r="M588" s="10"/>
    </row>
    <row r="589">
      <c r="L589" s="10"/>
      <c r="M589" s="10"/>
    </row>
    <row r="590">
      <c r="L590" s="10"/>
      <c r="M590" s="10"/>
    </row>
    <row r="591">
      <c r="L591" s="10"/>
      <c r="M591" s="10"/>
    </row>
    <row r="592">
      <c r="L592" s="10"/>
      <c r="M592" s="10"/>
    </row>
    <row r="593">
      <c r="L593" s="10"/>
      <c r="M593" s="10"/>
    </row>
    <row r="594">
      <c r="L594" s="10"/>
      <c r="M594" s="10"/>
    </row>
    <row r="595">
      <c r="L595" s="10"/>
      <c r="M595" s="10"/>
    </row>
    <row r="596">
      <c r="L596" s="10"/>
      <c r="M596" s="10"/>
    </row>
    <row r="597">
      <c r="L597" s="10"/>
      <c r="M597" s="10"/>
    </row>
    <row r="598">
      <c r="L598" s="10"/>
      <c r="M598" s="10"/>
    </row>
    <row r="599">
      <c r="L599" s="10"/>
      <c r="M599" s="10"/>
    </row>
    <row r="600">
      <c r="L600" s="10"/>
      <c r="M600" s="10"/>
    </row>
    <row r="601">
      <c r="L601" s="10"/>
      <c r="M601" s="10"/>
    </row>
    <row r="602">
      <c r="L602" s="10"/>
      <c r="M602" s="10"/>
    </row>
    <row r="603">
      <c r="L603" s="10"/>
      <c r="M603" s="10"/>
    </row>
    <row r="604">
      <c r="L604" s="10"/>
      <c r="M604" s="10"/>
    </row>
    <row r="605">
      <c r="L605" s="10"/>
      <c r="M605" s="10"/>
    </row>
    <row r="606">
      <c r="L606" s="10"/>
      <c r="M606" s="10"/>
    </row>
    <row r="607">
      <c r="L607" s="10"/>
      <c r="M607" s="10"/>
    </row>
    <row r="608">
      <c r="L608" s="10"/>
      <c r="M608" s="10"/>
    </row>
    <row r="609">
      <c r="L609" s="10"/>
      <c r="M609" s="10"/>
    </row>
    <row r="610">
      <c r="L610" s="10"/>
      <c r="M610" s="10"/>
    </row>
    <row r="611">
      <c r="L611" s="10"/>
      <c r="M611" s="10"/>
    </row>
    <row r="612">
      <c r="L612" s="10"/>
      <c r="M612" s="10"/>
    </row>
    <row r="613">
      <c r="L613" s="10"/>
      <c r="M613" s="10"/>
    </row>
    <row r="614">
      <c r="L614" s="10"/>
      <c r="M614" s="10"/>
    </row>
    <row r="615">
      <c r="L615" s="10"/>
      <c r="M615" s="10"/>
    </row>
    <row r="616">
      <c r="L616" s="10"/>
      <c r="M616" s="10"/>
    </row>
    <row r="617">
      <c r="L617" s="10"/>
      <c r="M617" s="10"/>
    </row>
    <row r="618">
      <c r="L618" s="10"/>
      <c r="M618" s="10"/>
    </row>
    <row r="619">
      <c r="L619" s="10"/>
      <c r="M619" s="10"/>
    </row>
    <row r="620">
      <c r="L620" s="10"/>
      <c r="M620" s="10"/>
    </row>
    <row r="621">
      <c r="L621" s="10"/>
      <c r="M621" s="10"/>
    </row>
    <row r="622">
      <c r="L622" s="10"/>
      <c r="M622" s="10"/>
    </row>
    <row r="623">
      <c r="L623" s="10"/>
      <c r="M623" s="10"/>
    </row>
    <row r="624">
      <c r="L624" s="10"/>
      <c r="M624" s="10"/>
    </row>
    <row r="625">
      <c r="L625" s="10"/>
      <c r="M625" s="10"/>
    </row>
    <row r="626">
      <c r="L626" s="10"/>
      <c r="M626" s="10"/>
    </row>
    <row r="627">
      <c r="L627" s="10"/>
      <c r="M627" s="10"/>
    </row>
    <row r="628">
      <c r="L628" s="10"/>
      <c r="M628" s="10"/>
    </row>
    <row r="629">
      <c r="L629" s="10"/>
      <c r="M629" s="10"/>
    </row>
    <row r="630">
      <c r="L630" s="10"/>
      <c r="M630" s="10"/>
    </row>
    <row r="631">
      <c r="L631" s="10"/>
      <c r="M631" s="10"/>
    </row>
    <row r="632">
      <c r="L632" s="10"/>
      <c r="M632" s="10"/>
    </row>
    <row r="633">
      <c r="L633" s="10"/>
      <c r="M633" s="10"/>
    </row>
    <row r="634">
      <c r="L634" s="10"/>
      <c r="M634" s="10"/>
    </row>
    <row r="635">
      <c r="L635" s="10"/>
      <c r="M635" s="10"/>
    </row>
    <row r="636">
      <c r="L636" s="10"/>
      <c r="M636" s="10"/>
    </row>
    <row r="637">
      <c r="L637" s="10"/>
      <c r="M637" s="10"/>
    </row>
    <row r="638">
      <c r="L638" s="10"/>
      <c r="M638" s="10"/>
    </row>
    <row r="639">
      <c r="L639" s="10"/>
      <c r="M639" s="10"/>
    </row>
    <row r="640">
      <c r="L640" s="10"/>
      <c r="M640" s="10"/>
    </row>
    <row r="641">
      <c r="L641" s="10"/>
      <c r="M641" s="10"/>
    </row>
    <row r="642">
      <c r="L642" s="10"/>
      <c r="M642" s="10"/>
    </row>
    <row r="643">
      <c r="L643" s="10"/>
      <c r="M643" s="10"/>
    </row>
    <row r="644">
      <c r="L644" s="10"/>
      <c r="M644" s="10"/>
    </row>
    <row r="645">
      <c r="L645" s="10"/>
      <c r="M645" s="10"/>
    </row>
    <row r="646">
      <c r="L646" s="10"/>
      <c r="M646" s="10"/>
    </row>
    <row r="647">
      <c r="L647" s="10"/>
      <c r="M647" s="10"/>
    </row>
    <row r="648">
      <c r="L648" s="10"/>
      <c r="M648" s="10"/>
    </row>
    <row r="649">
      <c r="L649" s="10"/>
      <c r="M649" s="10"/>
    </row>
    <row r="650">
      <c r="L650" s="10"/>
      <c r="M650" s="10"/>
    </row>
    <row r="651">
      <c r="L651" s="10"/>
      <c r="M651" s="10"/>
    </row>
    <row r="652">
      <c r="L652" s="10"/>
      <c r="M652" s="10"/>
    </row>
    <row r="653">
      <c r="L653" s="10"/>
      <c r="M653" s="10"/>
    </row>
    <row r="654">
      <c r="L654" s="10"/>
      <c r="M654" s="10"/>
    </row>
    <row r="655">
      <c r="L655" s="10"/>
      <c r="M655" s="10"/>
    </row>
    <row r="656">
      <c r="L656" s="10"/>
      <c r="M656" s="10"/>
    </row>
    <row r="657">
      <c r="L657" s="10"/>
      <c r="M657" s="10"/>
    </row>
    <row r="658">
      <c r="L658" s="10"/>
      <c r="M658" s="10"/>
    </row>
    <row r="659">
      <c r="L659" s="10"/>
      <c r="M659" s="10"/>
    </row>
    <row r="660">
      <c r="L660" s="10"/>
      <c r="M660" s="10"/>
    </row>
    <row r="661">
      <c r="L661" s="10"/>
      <c r="M661" s="10"/>
    </row>
    <row r="662">
      <c r="L662" s="10"/>
      <c r="M662" s="10"/>
    </row>
    <row r="663">
      <c r="L663" s="10"/>
      <c r="M663" s="10"/>
    </row>
    <row r="664">
      <c r="L664" s="10"/>
      <c r="M664" s="10"/>
    </row>
    <row r="665">
      <c r="L665" s="10"/>
      <c r="M665" s="10"/>
    </row>
    <row r="666">
      <c r="L666" s="10"/>
      <c r="M666" s="10"/>
    </row>
    <row r="667">
      <c r="L667" s="10"/>
      <c r="M667" s="10"/>
    </row>
    <row r="668">
      <c r="L668" s="10"/>
      <c r="M668" s="10"/>
    </row>
    <row r="669">
      <c r="L669" s="10"/>
      <c r="M669" s="10"/>
    </row>
    <row r="670">
      <c r="L670" s="10"/>
      <c r="M670" s="10"/>
    </row>
    <row r="671">
      <c r="L671" s="10"/>
      <c r="M671" s="10"/>
    </row>
    <row r="672">
      <c r="L672" s="10"/>
      <c r="M672" s="10"/>
    </row>
    <row r="673">
      <c r="L673" s="10"/>
      <c r="M673" s="10"/>
    </row>
    <row r="674">
      <c r="L674" s="10"/>
      <c r="M674" s="10"/>
    </row>
    <row r="675">
      <c r="L675" s="10"/>
      <c r="M675" s="10"/>
    </row>
    <row r="676">
      <c r="L676" s="10"/>
      <c r="M676" s="10"/>
    </row>
    <row r="677">
      <c r="L677" s="10"/>
      <c r="M677" s="10"/>
    </row>
    <row r="678">
      <c r="L678" s="10"/>
      <c r="M678" s="10"/>
    </row>
    <row r="679">
      <c r="L679" s="10"/>
      <c r="M679" s="10"/>
    </row>
    <row r="680">
      <c r="L680" s="10"/>
      <c r="M680" s="10"/>
    </row>
    <row r="681">
      <c r="L681" s="10"/>
      <c r="M681" s="10"/>
    </row>
    <row r="682">
      <c r="L682" s="10"/>
      <c r="M682" s="10"/>
    </row>
    <row r="683">
      <c r="L683" s="10"/>
      <c r="M683" s="10"/>
    </row>
    <row r="684">
      <c r="L684" s="10"/>
      <c r="M684" s="10"/>
    </row>
    <row r="685">
      <c r="L685" s="10"/>
      <c r="M685" s="10"/>
    </row>
    <row r="686">
      <c r="L686" s="10"/>
      <c r="M686" s="10"/>
    </row>
    <row r="687">
      <c r="L687" s="10"/>
      <c r="M687" s="10"/>
    </row>
    <row r="688">
      <c r="L688" s="10"/>
      <c r="M688" s="10"/>
    </row>
    <row r="689">
      <c r="L689" s="10"/>
      <c r="M689" s="10"/>
    </row>
    <row r="690">
      <c r="L690" s="10"/>
      <c r="M690" s="10"/>
    </row>
    <row r="691">
      <c r="L691" s="10"/>
      <c r="M691" s="10"/>
    </row>
    <row r="692">
      <c r="L692" s="10"/>
      <c r="M692" s="10"/>
    </row>
    <row r="693">
      <c r="L693" s="10"/>
      <c r="M693" s="10"/>
    </row>
    <row r="694">
      <c r="L694" s="10"/>
      <c r="M694" s="10"/>
    </row>
    <row r="695">
      <c r="L695" s="10"/>
      <c r="M695" s="10"/>
    </row>
    <row r="696">
      <c r="L696" s="10"/>
      <c r="M696" s="10"/>
    </row>
    <row r="697">
      <c r="L697" s="10"/>
      <c r="M697" s="10"/>
    </row>
    <row r="698">
      <c r="L698" s="10"/>
      <c r="M698" s="10"/>
    </row>
    <row r="699">
      <c r="L699" s="10"/>
      <c r="M699" s="10"/>
    </row>
    <row r="700">
      <c r="L700" s="10"/>
      <c r="M700" s="10"/>
    </row>
    <row r="701">
      <c r="L701" s="10"/>
      <c r="M701" s="10"/>
    </row>
    <row r="702">
      <c r="L702" s="10"/>
      <c r="M702" s="10"/>
    </row>
    <row r="703">
      <c r="L703" s="10"/>
      <c r="M703" s="10"/>
    </row>
    <row r="704">
      <c r="L704" s="10"/>
      <c r="M704" s="10"/>
    </row>
    <row r="705">
      <c r="L705" s="10"/>
      <c r="M705" s="10"/>
    </row>
    <row r="706">
      <c r="L706" s="10"/>
      <c r="M706" s="10"/>
    </row>
    <row r="707">
      <c r="L707" s="10"/>
      <c r="M707" s="10"/>
    </row>
    <row r="708">
      <c r="L708" s="10"/>
      <c r="M708" s="10"/>
    </row>
    <row r="709">
      <c r="L709" s="10"/>
      <c r="M709" s="10"/>
    </row>
    <row r="710">
      <c r="L710" s="10"/>
      <c r="M710" s="10"/>
    </row>
    <row r="711">
      <c r="L711" s="10"/>
      <c r="M711" s="10"/>
    </row>
    <row r="712">
      <c r="L712" s="10"/>
      <c r="M712" s="10"/>
    </row>
    <row r="713">
      <c r="L713" s="10"/>
      <c r="M713" s="10"/>
    </row>
    <row r="714">
      <c r="L714" s="10"/>
      <c r="M714" s="10"/>
    </row>
    <row r="715">
      <c r="L715" s="10"/>
      <c r="M715" s="10"/>
    </row>
    <row r="716">
      <c r="L716" s="10"/>
      <c r="M716" s="10"/>
    </row>
    <row r="717">
      <c r="L717" s="10"/>
      <c r="M717" s="10"/>
    </row>
    <row r="718">
      <c r="L718" s="10"/>
      <c r="M718" s="10"/>
    </row>
    <row r="719">
      <c r="L719" s="10"/>
      <c r="M719" s="10"/>
    </row>
    <row r="720">
      <c r="L720" s="10"/>
      <c r="M720" s="10"/>
    </row>
    <row r="721">
      <c r="L721" s="10"/>
      <c r="M721" s="10"/>
    </row>
    <row r="722">
      <c r="L722" s="10"/>
      <c r="M722" s="10"/>
    </row>
    <row r="723">
      <c r="L723" s="10"/>
      <c r="M723" s="10"/>
    </row>
    <row r="724">
      <c r="L724" s="10"/>
      <c r="M724" s="10"/>
    </row>
    <row r="725">
      <c r="L725" s="10"/>
      <c r="M725" s="10"/>
    </row>
    <row r="726">
      <c r="L726" s="10"/>
      <c r="M726" s="10"/>
    </row>
    <row r="727">
      <c r="L727" s="10"/>
      <c r="M727" s="10"/>
    </row>
    <row r="728">
      <c r="L728" s="10"/>
      <c r="M728" s="10"/>
    </row>
    <row r="729">
      <c r="L729" s="10"/>
      <c r="M729" s="10"/>
    </row>
    <row r="730">
      <c r="L730" s="10"/>
      <c r="M730" s="10"/>
    </row>
    <row r="731">
      <c r="L731" s="10"/>
      <c r="M731" s="10"/>
    </row>
    <row r="732">
      <c r="L732" s="10"/>
      <c r="M732" s="10"/>
    </row>
    <row r="733">
      <c r="L733" s="10"/>
      <c r="M733" s="10"/>
    </row>
    <row r="734">
      <c r="L734" s="10"/>
      <c r="M734" s="10"/>
    </row>
    <row r="735">
      <c r="L735" s="10"/>
      <c r="M735" s="10"/>
    </row>
    <row r="736">
      <c r="L736" s="10"/>
      <c r="M736" s="10"/>
    </row>
    <row r="737">
      <c r="L737" s="10"/>
      <c r="M737" s="10"/>
    </row>
    <row r="738">
      <c r="L738" s="10"/>
      <c r="M738" s="10"/>
    </row>
    <row r="739">
      <c r="L739" s="10"/>
      <c r="M739" s="10"/>
    </row>
    <row r="740">
      <c r="L740" s="10"/>
      <c r="M740" s="10"/>
    </row>
    <row r="741">
      <c r="L741" s="10"/>
      <c r="M741" s="10"/>
    </row>
    <row r="742">
      <c r="L742" s="10"/>
      <c r="M742" s="10"/>
    </row>
    <row r="743">
      <c r="L743" s="10"/>
      <c r="M743" s="10"/>
    </row>
    <row r="744">
      <c r="L744" s="10"/>
      <c r="M744" s="10"/>
    </row>
    <row r="745">
      <c r="L745" s="10"/>
      <c r="M745" s="10"/>
    </row>
    <row r="746">
      <c r="L746" s="10"/>
      <c r="M746" s="10"/>
    </row>
    <row r="747">
      <c r="L747" s="10"/>
      <c r="M747" s="10"/>
    </row>
    <row r="748">
      <c r="L748" s="10"/>
      <c r="M748" s="10"/>
    </row>
    <row r="749">
      <c r="L749" s="10"/>
      <c r="M749" s="10"/>
    </row>
    <row r="750">
      <c r="L750" s="10"/>
      <c r="M750" s="10"/>
    </row>
    <row r="751">
      <c r="L751" s="10"/>
      <c r="M751" s="10"/>
    </row>
    <row r="752">
      <c r="L752" s="10"/>
      <c r="M752" s="10"/>
    </row>
    <row r="753">
      <c r="L753" s="10"/>
      <c r="M753" s="10"/>
    </row>
    <row r="754">
      <c r="L754" s="10"/>
      <c r="M754" s="10"/>
    </row>
    <row r="755">
      <c r="L755" s="10"/>
      <c r="M755" s="10"/>
    </row>
    <row r="756">
      <c r="L756" s="10"/>
      <c r="M756" s="10"/>
    </row>
    <row r="757">
      <c r="L757" s="10"/>
      <c r="M757" s="10"/>
    </row>
    <row r="758">
      <c r="L758" s="10"/>
      <c r="M758" s="10"/>
    </row>
    <row r="759">
      <c r="L759" s="10"/>
      <c r="M759" s="10"/>
    </row>
    <row r="760">
      <c r="L760" s="10"/>
      <c r="M760" s="10"/>
    </row>
    <row r="761">
      <c r="L761" s="10"/>
      <c r="M761" s="10"/>
    </row>
    <row r="762">
      <c r="L762" s="10"/>
      <c r="M762" s="10"/>
    </row>
    <row r="763">
      <c r="L763" s="10"/>
      <c r="M763" s="10"/>
    </row>
    <row r="764">
      <c r="L764" s="10"/>
      <c r="M764" s="10"/>
    </row>
    <row r="765">
      <c r="L765" s="10"/>
      <c r="M765" s="10"/>
    </row>
    <row r="766">
      <c r="L766" s="10"/>
      <c r="M766" s="10"/>
    </row>
    <row r="767">
      <c r="L767" s="10"/>
      <c r="M767" s="10"/>
    </row>
    <row r="768">
      <c r="L768" s="10"/>
      <c r="M768" s="10"/>
    </row>
    <row r="769">
      <c r="L769" s="10"/>
      <c r="M769" s="10"/>
    </row>
    <row r="770">
      <c r="L770" s="10"/>
      <c r="M770" s="10"/>
    </row>
    <row r="771">
      <c r="L771" s="10"/>
      <c r="M771" s="10"/>
    </row>
    <row r="772">
      <c r="L772" s="10"/>
      <c r="M772" s="10"/>
    </row>
    <row r="773">
      <c r="L773" s="10"/>
      <c r="M773" s="10"/>
    </row>
    <row r="774">
      <c r="L774" s="10"/>
      <c r="M774" s="10"/>
    </row>
    <row r="775">
      <c r="L775" s="10"/>
      <c r="M775" s="10"/>
    </row>
    <row r="776">
      <c r="L776" s="10"/>
      <c r="M776" s="10"/>
    </row>
    <row r="777">
      <c r="L777" s="10"/>
      <c r="M777" s="10"/>
    </row>
    <row r="778">
      <c r="L778" s="10"/>
      <c r="M778" s="10"/>
    </row>
    <row r="779">
      <c r="L779" s="10"/>
      <c r="M779" s="10"/>
    </row>
    <row r="780">
      <c r="L780" s="10"/>
      <c r="M780" s="10"/>
    </row>
    <row r="781">
      <c r="L781" s="10"/>
      <c r="M781" s="10"/>
    </row>
    <row r="782">
      <c r="L782" s="10"/>
      <c r="M782" s="10"/>
    </row>
    <row r="783">
      <c r="L783" s="10"/>
      <c r="M783" s="10"/>
    </row>
    <row r="784">
      <c r="L784" s="10"/>
      <c r="M784" s="10"/>
    </row>
    <row r="785">
      <c r="L785" s="10"/>
      <c r="M785" s="10"/>
    </row>
    <row r="786">
      <c r="L786" s="10"/>
      <c r="M786" s="10"/>
    </row>
    <row r="787">
      <c r="L787" s="10"/>
      <c r="M787" s="10"/>
    </row>
    <row r="788">
      <c r="L788" s="10"/>
      <c r="M788" s="10"/>
    </row>
    <row r="789">
      <c r="L789" s="10"/>
      <c r="M789" s="10"/>
    </row>
    <row r="790">
      <c r="L790" s="10"/>
      <c r="M790" s="10"/>
    </row>
    <row r="791">
      <c r="L791" s="10"/>
      <c r="M791" s="10"/>
    </row>
    <row r="792">
      <c r="L792" s="10"/>
      <c r="M792" s="10"/>
    </row>
    <row r="793">
      <c r="L793" s="10"/>
      <c r="M793" s="10"/>
    </row>
    <row r="794">
      <c r="L794" s="10"/>
      <c r="M794" s="10"/>
    </row>
    <row r="795">
      <c r="L795" s="10"/>
      <c r="M795" s="10"/>
    </row>
    <row r="796">
      <c r="L796" s="10"/>
      <c r="M796" s="10"/>
    </row>
    <row r="797">
      <c r="L797" s="10"/>
      <c r="M797" s="10"/>
    </row>
    <row r="798">
      <c r="L798" s="10"/>
      <c r="M798" s="10"/>
    </row>
    <row r="799">
      <c r="L799" s="10"/>
      <c r="M799" s="10"/>
    </row>
    <row r="800">
      <c r="L800" s="10"/>
      <c r="M800" s="10"/>
    </row>
    <row r="801">
      <c r="L801" s="10"/>
      <c r="M801" s="10"/>
    </row>
    <row r="802">
      <c r="L802" s="10"/>
      <c r="M802" s="10"/>
    </row>
    <row r="803">
      <c r="L803" s="10"/>
      <c r="M803" s="10"/>
    </row>
    <row r="804">
      <c r="L804" s="10"/>
      <c r="M804" s="10"/>
    </row>
    <row r="805">
      <c r="L805" s="10"/>
      <c r="M805" s="10"/>
    </row>
    <row r="806">
      <c r="L806" s="10"/>
      <c r="M806" s="10"/>
    </row>
    <row r="807">
      <c r="L807" s="10"/>
      <c r="M807" s="10"/>
    </row>
    <row r="808">
      <c r="L808" s="10"/>
      <c r="M808" s="10"/>
    </row>
    <row r="809">
      <c r="L809" s="10"/>
      <c r="M809" s="10"/>
    </row>
    <row r="810">
      <c r="L810" s="10"/>
      <c r="M810" s="10"/>
    </row>
    <row r="811">
      <c r="L811" s="10"/>
      <c r="M811" s="10"/>
    </row>
    <row r="812">
      <c r="L812" s="10"/>
      <c r="M812" s="10"/>
    </row>
    <row r="813">
      <c r="L813" s="10"/>
      <c r="M813" s="10"/>
    </row>
    <row r="814">
      <c r="L814" s="10"/>
      <c r="M814" s="10"/>
    </row>
    <row r="815">
      <c r="L815" s="10"/>
      <c r="M815" s="10"/>
    </row>
    <row r="816">
      <c r="L816" s="10"/>
      <c r="M816" s="10"/>
    </row>
    <row r="817">
      <c r="L817" s="10"/>
      <c r="M817" s="10"/>
    </row>
    <row r="818">
      <c r="L818" s="10"/>
      <c r="M818" s="10"/>
    </row>
    <row r="819">
      <c r="L819" s="10"/>
      <c r="M819" s="10"/>
    </row>
    <row r="820">
      <c r="L820" s="10"/>
      <c r="M820" s="10"/>
    </row>
    <row r="821">
      <c r="L821" s="10"/>
      <c r="M821" s="10"/>
    </row>
    <row r="822">
      <c r="L822" s="10"/>
      <c r="M822" s="10"/>
    </row>
    <row r="823">
      <c r="L823" s="10"/>
      <c r="M823" s="10"/>
    </row>
    <row r="824">
      <c r="L824" s="10"/>
      <c r="M824" s="10"/>
    </row>
    <row r="825">
      <c r="L825" s="10"/>
      <c r="M825" s="10"/>
    </row>
    <row r="826">
      <c r="L826" s="10"/>
      <c r="M826" s="10"/>
    </row>
    <row r="827">
      <c r="L827" s="10"/>
      <c r="M827" s="10"/>
    </row>
    <row r="828">
      <c r="L828" s="10"/>
      <c r="M828" s="10"/>
    </row>
    <row r="829">
      <c r="L829" s="10"/>
      <c r="M829" s="10"/>
    </row>
    <row r="830">
      <c r="L830" s="10"/>
      <c r="M830" s="10"/>
    </row>
    <row r="831">
      <c r="L831" s="10"/>
      <c r="M831" s="10"/>
    </row>
    <row r="832">
      <c r="L832" s="10"/>
      <c r="M832" s="10"/>
    </row>
    <row r="833">
      <c r="L833" s="10"/>
      <c r="M833" s="10"/>
    </row>
    <row r="834">
      <c r="L834" s="10"/>
      <c r="M834" s="10"/>
    </row>
    <row r="835">
      <c r="L835" s="10"/>
      <c r="M835" s="10"/>
    </row>
    <row r="836">
      <c r="L836" s="10"/>
      <c r="M836" s="10"/>
    </row>
    <row r="837">
      <c r="L837" s="10"/>
      <c r="M837" s="10"/>
    </row>
    <row r="838">
      <c r="L838" s="10"/>
      <c r="M838" s="10"/>
    </row>
    <row r="839">
      <c r="L839" s="10"/>
      <c r="M839" s="10"/>
    </row>
    <row r="840">
      <c r="L840" s="10"/>
      <c r="M840" s="10"/>
    </row>
    <row r="841">
      <c r="L841" s="10"/>
      <c r="M841" s="10"/>
    </row>
    <row r="842">
      <c r="L842" s="10"/>
      <c r="M842" s="10"/>
    </row>
    <row r="843">
      <c r="L843" s="10"/>
      <c r="M843" s="10"/>
    </row>
    <row r="844">
      <c r="L844" s="10"/>
      <c r="M844" s="10"/>
    </row>
    <row r="845">
      <c r="L845" s="10"/>
      <c r="M845" s="10"/>
    </row>
    <row r="846">
      <c r="L846" s="10"/>
      <c r="M846" s="10"/>
    </row>
    <row r="847">
      <c r="L847" s="10"/>
      <c r="M847" s="10"/>
    </row>
    <row r="848">
      <c r="L848" s="10"/>
      <c r="M848" s="10"/>
    </row>
    <row r="849">
      <c r="L849" s="10"/>
      <c r="M849" s="10"/>
    </row>
    <row r="850">
      <c r="L850" s="10"/>
      <c r="M850" s="10"/>
    </row>
    <row r="851">
      <c r="L851" s="10"/>
      <c r="M851" s="10"/>
    </row>
    <row r="852">
      <c r="L852" s="10"/>
      <c r="M852" s="10"/>
    </row>
    <row r="853">
      <c r="L853" s="10"/>
      <c r="M853" s="10"/>
    </row>
    <row r="854">
      <c r="L854" s="10"/>
      <c r="M854" s="10"/>
    </row>
    <row r="855">
      <c r="L855" s="10"/>
      <c r="M855" s="10"/>
    </row>
    <row r="856">
      <c r="L856" s="10"/>
      <c r="M856" s="10"/>
    </row>
    <row r="857">
      <c r="L857" s="10"/>
      <c r="M857" s="10"/>
    </row>
    <row r="858">
      <c r="L858" s="10"/>
      <c r="M858" s="10"/>
    </row>
    <row r="859">
      <c r="L859" s="10"/>
      <c r="M859" s="10"/>
    </row>
    <row r="860">
      <c r="L860" s="10"/>
      <c r="M860" s="10"/>
    </row>
    <row r="861">
      <c r="L861" s="10"/>
      <c r="M861" s="10"/>
    </row>
    <row r="862">
      <c r="L862" s="10"/>
      <c r="M862" s="10"/>
    </row>
    <row r="863">
      <c r="L863" s="10"/>
      <c r="M863" s="10"/>
    </row>
    <row r="864">
      <c r="L864" s="10"/>
      <c r="M864" s="10"/>
    </row>
    <row r="865">
      <c r="L865" s="10"/>
      <c r="M865" s="10"/>
    </row>
    <row r="866">
      <c r="L866" s="10"/>
      <c r="M866" s="10"/>
    </row>
    <row r="867">
      <c r="L867" s="10"/>
      <c r="M867" s="10"/>
    </row>
    <row r="868">
      <c r="L868" s="10"/>
      <c r="M868" s="10"/>
    </row>
    <row r="869">
      <c r="L869" s="10"/>
      <c r="M869" s="10"/>
    </row>
    <row r="870">
      <c r="L870" s="10"/>
      <c r="M870" s="10"/>
    </row>
    <row r="871">
      <c r="L871" s="10"/>
      <c r="M871" s="10"/>
    </row>
    <row r="872">
      <c r="L872" s="10"/>
      <c r="M872" s="10"/>
    </row>
    <row r="873">
      <c r="L873" s="10"/>
      <c r="M873" s="10"/>
    </row>
    <row r="874">
      <c r="L874" s="10"/>
      <c r="M874" s="10"/>
    </row>
    <row r="875">
      <c r="L875" s="10"/>
      <c r="M875" s="10"/>
    </row>
    <row r="876">
      <c r="L876" s="10"/>
      <c r="M876" s="10"/>
    </row>
    <row r="877">
      <c r="L877" s="10"/>
      <c r="M877" s="10"/>
    </row>
    <row r="878">
      <c r="L878" s="10"/>
      <c r="M878" s="10"/>
    </row>
    <row r="879">
      <c r="L879" s="10"/>
      <c r="M879" s="10"/>
    </row>
    <row r="880">
      <c r="L880" s="10"/>
      <c r="M880" s="10"/>
    </row>
    <row r="881">
      <c r="L881" s="10"/>
      <c r="M881" s="10"/>
    </row>
    <row r="882">
      <c r="L882" s="10"/>
      <c r="M882" s="10"/>
    </row>
    <row r="883">
      <c r="L883" s="10"/>
      <c r="M883" s="10"/>
    </row>
    <row r="884">
      <c r="L884" s="10"/>
      <c r="M884" s="10"/>
    </row>
    <row r="885">
      <c r="L885" s="10"/>
      <c r="M885" s="10"/>
    </row>
    <row r="886">
      <c r="L886" s="10"/>
      <c r="M886" s="10"/>
    </row>
    <row r="887">
      <c r="L887" s="10"/>
      <c r="M887" s="10"/>
    </row>
    <row r="888">
      <c r="L888" s="10"/>
      <c r="M888" s="10"/>
    </row>
    <row r="889">
      <c r="L889" s="10"/>
      <c r="M889" s="10"/>
    </row>
    <row r="890">
      <c r="L890" s="10"/>
      <c r="M890" s="10"/>
    </row>
    <row r="891">
      <c r="L891" s="10"/>
      <c r="M891" s="10"/>
    </row>
    <row r="892">
      <c r="L892" s="10"/>
      <c r="M892" s="10"/>
    </row>
    <row r="893">
      <c r="L893" s="10"/>
      <c r="M893" s="10"/>
    </row>
    <row r="894">
      <c r="L894" s="10"/>
      <c r="M894" s="10"/>
    </row>
    <row r="895">
      <c r="L895" s="10"/>
      <c r="M895" s="10"/>
    </row>
    <row r="896">
      <c r="L896" s="10"/>
      <c r="M896" s="10"/>
    </row>
    <row r="897">
      <c r="L897" s="10"/>
      <c r="M897" s="10"/>
    </row>
    <row r="898">
      <c r="L898" s="10"/>
      <c r="M898" s="10"/>
    </row>
    <row r="899">
      <c r="L899" s="10"/>
      <c r="M899" s="10"/>
    </row>
    <row r="900">
      <c r="L900" s="10"/>
      <c r="M900" s="10"/>
    </row>
    <row r="901">
      <c r="L901" s="10"/>
      <c r="M901" s="10"/>
    </row>
    <row r="902">
      <c r="L902" s="10"/>
      <c r="M902" s="10"/>
    </row>
    <row r="903">
      <c r="L903" s="10"/>
      <c r="M903" s="10"/>
    </row>
    <row r="904">
      <c r="L904" s="10"/>
      <c r="M904" s="10"/>
    </row>
    <row r="905">
      <c r="L905" s="10"/>
      <c r="M905" s="10"/>
    </row>
    <row r="906">
      <c r="L906" s="10"/>
      <c r="M906" s="10"/>
    </row>
    <row r="907">
      <c r="L907" s="10"/>
      <c r="M907" s="10"/>
    </row>
    <row r="908">
      <c r="L908" s="10"/>
      <c r="M908" s="10"/>
    </row>
    <row r="909">
      <c r="L909" s="10"/>
      <c r="M909" s="10"/>
    </row>
    <row r="910">
      <c r="L910" s="10"/>
      <c r="M910" s="10"/>
    </row>
    <row r="911">
      <c r="L911" s="10"/>
      <c r="M911" s="10"/>
    </row>
    <row r="912">
      <c r="L912" s="10"/>
      <c r="M912" s="10"/>
    </row>
    <row r="913">
      <c r="L913" s="10"/>
      <c r="M913" s="10"/>
    </row>
    <row r="914">
      <c r="L914" s="10"/>
      <c r="M914" s="10"/>
    </row>
    <row r="915">
      <c r="L915" s="10"/>
      <c r="M915" s="10"/>
    </row>
    <row r="916">
      <c r="L916" s="10"/>
      <c r="M916" s="10"/>
    </row>
    <row r="917">
      <c r="L917" s="10"/>
      <c r="M917" s="10"/>
    </row>
    <row r="918">
      <c r="L918" s="10"/>
      <c r="M918" s="10"/>
    </row>
    <row r="919">
      <c r="L919" s="10"/>
      <c r="M919" s="10"/>
    </row>
    <row r="920">
      <c r="L920" s="10"/>
      <c r="M920" s="10"/>
    </row>
    <row r="921">
      <c r="L921" s="10"/>
      <c r="M921" s="10"/>
    </row>
    <row r="922">
      <c r="L922" s="10"/>
      <c r="M922" s="10"/>
    </row>
    <row r="923">
      <c r="L923" s="10"/>
      <c r="M923" s="10"/>
    </row>
    <row r="924">
      <c r="L924" s="10"/>
      <c r="M924" s="10"/>
    </row>
    <row r="925">
      <c r="L925" s="10"/>
      <c r="M925" s="10"/>
    </row>
    <row r="926">
      <c r="L926" s="10"/>
      <c r="M926" s="10"/>
    </row>
    <row r="927">
      <c r="L927" s="10"/>
      <c r="M927" s="10"/>
    </row>
    <row r="928">
      <c r="L928" s="10"/>
      <c r="M928" s="10"/>
    </row>
    <row r="929">
      <c r="L929" s="10"/>
      <c r="M929" s="10"/>
    </row>
    <row r="930">
      <c r="L930" s="10"/>
      <c r="M930" s="10"/>
    </row>
    <row r="931">
      <c r="L931" s="10"/>
      <c r="M931" s="10"/>
    </row>
    <row r="932">
      <c r="L932" s="10"/>
      <c r="M932" s="10"/>
    </row>
    <row r="933">
      <c r="L933" s="10"/>
      <c r="M933" s="10"/>
    </row>
    <row r="934">
      <c r="L934" s="10"/>
      <c r="M934" s="10"/>
    </row>
    <row r="935">
      <c r="L935" s="10"/>
      <c r="M935" s="10"/>
    </row>
    <row r="936">
      <c r="L936" s="10"/>
      <c r="M936" s="10"/>
    </row>
    <row r="937">
      <c r="L937" s="10"/>
      <c r="M937" s="10"/>
    </row>
    <row r="938">
      <c r="L938" s="10"/>
      <c r="M938" s="10"/>
    </row>
    <row r="939">
      <c r="L939" s="10"/>
      <c r="M939" s="10"/>
    </row>
    <row r="940">
      <c r="L940" s="10"/>
      <c r="M940" s="10"/>
    </row>
    <row r="941">
      <c r="L941" s="10"/>
      <c r="M941" s="10"/>
    </row>
    <row r="942">
      <c r="L942" s="10"/>
      <c r="M942" s="10"/>
    </row>
    <row r="943">
      <c r="L943" s="10"/>
      <c r="M943" s="10"/>
    </row>
    <row r="944">
      <c r="L944" s="10"/>
      <c r="M944" s="10"/>
    </row>
    <row r="945">
      <c r="L945" s="10"/>
      <c r="M945" s="10"/>
    </row>
    <row r="946">
      <c r="L946" s="10"/>
      <c r="M946" s="10"/>
    </row>
    <row r="947">
      <c r="L947" s="10"/>
      <c r="M947" s="10"/>
    </row>
    <row r="948">
      <c r="L948" s="10"/>
      <c r="M948" s="10"/>
    </row>
    <row r="949">
      <c r="L949" s="10"/>
      <c r="M949" s="10"/>
    </row>
    <row r="950">
      <c r="L950" s="10"/>
      <c r="M950" s="10"/>
    </row>
    <row r="951">
      <c r="L951" s="10"/>
      <c r="M951" s="10"/>
    </row>
    <row r="952">
      <c r="L952" s="10"/>
      <c r="M952" s="10"/>
    </row>
    <row r="953">
      <c r="L953" s="10"/>
      <c r="M953" s="10"/>
    </row>
    <row r="954">
      <c r="L954" s="10"/>
      <c r="M954" s="10"/>
    </row>
    <row r="955">
      <c r="L955" s="10"/>
      <c r="M955" s="10"/>
    </row>
    <row r="956">
      <c r="L956" s="10"/>
      <c r="M956" s="10"/>
    </row>
    <row r="957">
      <c r="L957" s="10"/>
      <c r="M957" s="10"/>
    </row>
    <row r="958">
      <c r="L958" s="10"/>
      <c r="M958" s="10"/>
    </row>
    <row r="959">
      <c r="L959" s="10"/>
      <c r="M959" s="10"/>
    </row>
    <row r="960">
      <c r="L960" s="10"/>
      <c r="M960" s="10"/>
    </row>
    <row r="961">
      <c r="L961" s="10"/>
      <c r="M961" s="10"/>
    </row>
    <row r="962">
      <c r="L962" s="10"/>
      <c r="M962" s="10"/>
    </row>
    <row r="963">
      <c r="L963" s="10"/>
      <c r="M963" s="10"/>
    </row>
    <row r="964">
      <c r="L964" s="10"/>
      <c r="M964" s="10"/>
    </row>
    <row r="965">
      <c r="L965" s="10"/>
      <c r="M965" s="10"/>
    </row>
    <row r="966">
      <c r="L966" s="10"/>
      <c r="M966" s="10"/>
    </row>
    <row r="967">
      <c r="L967" s="10"/>
      <c r="M967" s="10"/>
    </row>
    <row r="968">
      <c r="L968" s="10"/>
      <c r="M968" s="10"/>
    </row>
    <row r="969">
      <c r="L969" s="10"/>
      <c r="M969" s="10"/>
    </row>
    <row r="970">
      <c r="L970" s="10"/>
      <c r="M970" s="10"/>
    </row>
    <row r="971">
      <c r="L971" s="10"/>
      <c r="M971" s="10"/>
    </row>
    <row r="972">
      <c r="L972" s="10"/>
      <c r="M972" s="10"/>
    </row>
    <row r="973">
      <c r="L973" s="10"/>
      <c r="M973" s="10"/>
    </row>
    <row r="974">
      <c r="L974" s="10"/>
      <c r="M974" s="10"/>
    </row>
    <row r="975">
      <c r="L975" s="10"/>
      <c r="M975" s="10"/>
    </row>
    <row r="976">
      <c r="L976" s="10"/>
      <c r="M976" s="10"/>
    </row>
    <row r="977">
      <c r="L977" s="10"/>
      <c r="M977" s="10"/>
    </row>
    <row r="978">
      <c r="L978" s="10"/>
      <c r="M978" s="10"/>
    </row>
    <row r="979">
      <c r="L979" s="10"/>
      <c r="M979" s="10"/>
    </row>
    <row r="980">
      <c r="L980" s="10"/>
      <c r="M980" s="10"/>
    </row>
    <row r="981">
      <c r="L981" s="10"/>
      <c r="M981" s="10"/>
    </row>
    <row r="982">
      <c r="L982" s="10"/>
      <c r="M982" s="10"/>
    </row>
    <row r="983">
      <c r="L983" s="10"/>
      <c r="M983" s="10"/>
    </row>
    <row r="984">
      <c r="L984" s="10"/>
      <c r="M984" s="10"/>
    </row>
    <row r="985">
      <c r="L985" s="10"/>
      <c r="M985" s="10"/>
    </row>
    <row r="986">
      <c r="L986" s="10"/>
      <c r="M986" s="10"/>
    </row>
    <row r="987">
      <c r="L987" s="10"/>
      <c r="M987" s="10"/>
    </row>
  </sheetData>
  <conditionalFormatting sqref="K3:K27">
    <cfRule type="cellIs" dxfId="5" priority="1" operator="lessThan">
      <formula>0</formula>
    </cfRule>
  </conditionalFormatting>
  <conditionalFormatting sqref="L1:L987">
    <cfRule type="cellIs" dxfId="6" priority="2" operator="greaterThan">
      <formula>0.04</formula>
    </cfRule>
  </conditionalFormatting>
  <dataValidations>
    <dataValidation type="custom" allowBlank="1" showDropDown="1" sqref="L3:M28">
      <formula1>AND(ISNUMBER(L3),(NOT(OR(NOT(ISERROR(DATEVALUE(L3))), AND(ISNUMBER(L3), LEFT(CELL("format", L3))="D")))))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63"/>
    <col customWidth="1" min="8" max="8" width="15.0"/>
  </cols>
  <sheetData>
    <row r="1">
      <c r="A1" s="8" t="s">
        <v>54</v>
      </c>
      <c r="B1" s="8" t="s">
        <v>55</v>
      </c>
      <c r="C1" s="8" t="s">
        <v>35</v>
      </c>
    </row>
    <row r="2">
      <c r="A2" s="22">
        <v>45352.0</v>
      </c>
      <c r="B2" s="8">
        <v>-250000.0</v>
      </c>
      <c r="C2" s="8" t="s">
        <v>56</v>
      </c>
    </row>
    <row r="3">
      <c r="A3" s="22">
        <v>45627.0</v>
      </c>
      <c r="B3" s="8">
        <v>-50000.0</v>
      </c>
      <c r="C3" s="8" t="s">
        <v>57</v>
      </c>
    </row>
    <row r="4">
      <c r="A4" s="23">
        <v>45717.0</v>
      </c>
      <c r="B4" s="8">
        <v>-25000.0</v>
      </c>
      <c r="C4" s="8" t="s">
        <v>57</v>
      </c>
    </row>
    <row r="5">
      <c r="A5" s="24">
        <f>TODAY()</f>
        <v>46151</v>
      </c>
      <c r="B5" s="20" t="str">
        <f>Tracker!C35</f>
        <v>#REF!</v>
      </c>
      <c r="C5" s="8" t="s">
        <v>30</v>
      </c>
    </row>
    <row r="10">
      <c r="A10" s="8" t="s">
        <v>58</v>
      </c>
    </row>
    <row r="11">
      <c r="A11" s="8" t="s">
        <v>59</v>
      </c>
    </row>
    <row r="12">
      <c r="A12" s="8" t="s">
        <v>60</v>
      </c>
    </row>
    <row r="13">
      <c r="A13" s="8" t="s">
        <v>61</v>
      </c>
    </row>
    <row r="14">
      <c r="A14" s="8" t="s">
        <v>62</v>
      </c>
    </row>
    <row r="15">
      <c r="A15" s="8" t="s">
        <v>63</v>
      </c>
    </row>
    <row r="16">
      <c r="A16" s="8" t="s">
        <v>64</v>
      </c>
    </row>
    <row r="17">
      <c r="A17" s="8" t="s">
        <v>65</v>
      </c>
    </row>
    <row r="18">
      <c r="A18" s="8" t="s">
        <v>66</v>
      </c>
    </row>
    <row r="19">
      <c r="A19" s="8" t="s">
        <v>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31.25"/>
    <col customWidth="1" min="4" max="4" width="21.13"/>
    <col customWidth="1" min="5" max="5" width="14.88"/>
    <col customWidth="1" min="6" max="6" width="16.25"/>
    <col customWidth="1" min="9" max="9" width="15.88"/>
  </cols>
  <sheetData>
    <row r="4" ht="22.5" customHeight="1">
      <c r="B4" s="1" t="s">
        <v>68</v>
      </c>
      <c r="C4" s="1" t="s">
        <v>1</v>
      </c>
      <c r="D4" s="1" t="s">
        <v>69</v>
      </c>
      <c r="E4" s="1" t="s">
        <v>70</v>
      </c>
      <c r="F4" s="1" t="s">
        <v>71</v>
      </c>
    </row>
    <row r="5" ht="22.5" customHeight="1">
      <c r="B5" s="25" t="s">
        <v>72</v>
      </c>
      <c r="C5" s="25" t="s">
        <v>73</v>
      </c>
      <c r="D5" s="25" t="s">
        <v>73</v>
      </c>
      <c r="E5" s="25" t="s">
        <v>73</v>
      </c>
      <c r="F5" s="26" t="str">
        <f>Tracker!C37</f>
        <v>#REF!</v>
      </c>
    </row>
    <row r="6" ht="22.5" customHeight="1">
      <c r="B6" s="13" t="s">
        <v>74</v>
      </c>
      <c r="C6" s="13" t="s">
        <v>75</v>
      </c>
      <c r="D6" s="13">
        <v>75.43</v>
      </c>
      <c r="E6" s="14">
        <f>IFERROR(__xludf.DUMMYFUNCTION("GOOGLEFINANCE(C6)"),91.94)</f>
        <v>91.94</v>
      </c>
      <c r="F6" s="15">
        <f t="shared" ref="F6:F7" si="1">E6/D6-1</f>
        <v>0.2188784303</v>
      </c>
    </row>
    <row r="7" ht="22.5" customHeight="1">
      <c r="B7" s="13" t="s">
        <v>76</v>
      </c>
      <c r="C7" s="13" t="s">
        <v>77</v>
      </c>
      <c r="D7" s="13">
        <v>87.63</v>
      </c>
      <c r="E7" s="14">
        <f>IFERROR(__xludf.DUMMYFUNCTION("GOOGLEFINANCE(C7)"),108.28)</f>
        <v>108.28</v>
      </c>
      <c r="F7" s="15">
        <f t="shared" si="1"/>
        <v>0.2356498916</v>
      </c>
      <c r="I7" s="20" t="str">
        <f t="shared" ref="I7:I9" si="2">B5</f>
        <v>My portfolio</v>
      </c>
      <c r="J7" s="27" t="str">
        <f t="shared" ref="J7:J9" si="3">F5</f>
        <v>#REF!</v>
      </c>
    </row>
    <row r="8">
      <c r="I8" s="20" t="str">
        <f t="shared" si="2"/>
        <v>PPFAS</v>
      </c>
      <c r="J8" s="27">
        <f t="shared" si="3"/>
        <v>0.2188784303</v>
      </c>
    </row>
    <row r="9">
      <c r="I9" s="20" t="str">
        <f t="shared" si="2"/>
        <v>Motilal mid cap fund</v>
      </c>
      <c r="J9" s="27">
        <f t="shared" si="3"/>
        <v>0.2356498916</v>
      </c>
    </row>
  </sheetData>
  <dataValidations>
    <dataValidation type="custom" allowBlank="1" showDropDown="1" sqref="F5:F7">
      <formula1>AND(ISNUMBER(F5),(NOT(OR(NOT(ISERROR(DATEVALUE(F5))), AND(ISNUMBER(F5), LEFT(CELL("format", F5))="D")))))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8.25"/>
    <col customWidth="1" min="3" max="3" width="16.75"/>
  </cols>
  <sheetData>
    <row r="1">
      <c r="A1" s="8" t="s">
        <v>78</v>
      </c>
      <c r="B1" s="8" t="s">
        <v>79</v>
      </c>
      <c r="C1" s="8" t="s">
        <v>80</v>
      </c>
      <c r="D1" s="8" t="s">
        <v>81</v>
      </c>
      <c r="E1" s="8" t="s">
        <v>2</v>
      </c>
      <c r="F1" s="8" t="s">
        <v>82</v>
      </c>
      <c r="G1" s="8" t="s">
        <v>30</v>
      </c>
      <c r="H1" s="8" t="s">
        <v>83</v>
      </c>
      <c r="I1" s="8" t="s">
        <v>84</v>
      </c>
      <c r="J1" s="8" t="s">
        <v>3</v>
      </c>
    </row>
    <row r="2">
      <c r="A2" s="8" t="s">
        <v>85</v>
      </c>
      <c r="B2" s="8" t="s">
        <v>86</v>
      </c>
      <c r="C2" s="8">
        <v>1221.25</v>
      </c>
      <c r="D2" s="8">
        <v>80.0</v>
      </c>
      <c r="E2" s="28">
        <f>IFERROR(__xludf.DUMMYFUNCTION("GOOGLEFINANCE(B2,""PRICE"")"),17750.0)</f>
        <v>17750</v>
      </c>
      <c r="F2" s="29">
        <f t="shared" ref="F2:G2" si="1">C2*D2</f>
        <v>97700</v>
      </c>
      <c r="G2" s="20">
        <f t="shared" si="1"/>
        <v>1420000</v>
      </c>
      <c r="H2" s="30">
        <f>IFERROR(__xludf.DUMMYFUNCTION("GOOGLEFINANCE(B2,""changepct"")"),2.69)</f>
        <v>2.69</v>
      </c>
      <c r="I2" s="27">
        <f t="shared" ref="I2:I23" si="3">(E2-C2)/C2</f>
        <v>13.53428864</v>
      </c>
      <c r="J2" s="27">
        <f t="shared" ref="J2:J23" si="4">G2/G$27</f>
        <v>0.1035581146</v>
      </c>
    </row>
    <row r="3">
      <c r="A3" s="8" t="s">
        <v>87</v>
      </c>
      <c r="B3" s="8" t="s">
        <v>15</v>
      </c>
      <c r="C3" s="8">
        <v>758.33333333</v>
      </c>
      <c r="D3" s="8">
        <v>600.0</v>
      </c>
      <c r="E3" s="28">
        <f>IFERROR(__xludf.DUMMYFUNCTION("GOOGLEFINANCE(B3,""PRICE"")"),1820.0)</f>
        <v>1820</v>
      </c>
      <c r="F3" s="29">
        <f t="shared" ref="F3:G3" si="2">C3*D3</f>
        <v>455000</v>
      </c>
      <c r="G3" s="20">
        <f t="shared" si="2"/>
        <v>1092000</v>
      </c>
      <c r="H3" s="30">
        <f>IFERROR(__xludf.DUMMYFUNCTION("GOOGLEFINANCE(B3,""changepct"")"),-1.95)</f>
        <v>-1.95</v>
      </c>
      <c r="I3" s="27">
        <f t="shared" si="3"/>
        <v>1.4</v>
      </c>
      <c r="J3" s="27">
        <f t="shared" si="4"/>
        <v>0.0796376487</v>
      </c>
    </row>
    <row r="4">
      <c r="A4" s="8" t="s">
        <v>88</v>
      </c>
      <c r="B4" s="8" t="s">
        <v>89</v>
      </c>
      <c r="C4" s="8">
        <v>137.4402799</v>
      </c>
      <c r="D4" s="8">
        <v>3930.0</v>
      </c>
      <c r="E4" s="31">
        <f>IFERROR(__xludf.DUMMYFUNCTION("GOOGLEFINANCE(B4,""PRICE"")"),145.37)</f>
        <v>145.37</v>
      </c>
      <c r="F4" s="29">
        <f t="shared" ref="F4:G4" si="5">C4*D4</f>
        <v>540140.3</v>
      </c>
      <c r="G4" s="20">
        <f t="shared" si="5"/>
        <v>571304.1</v>
      </c>
      <c r="H4" s="20">
        <f>IFERROR(__xludf.DUMMYFUNCTION("GOOGLEFINANCE(B4,""changepct"")"),1.76)</f>
        <v>1.76</v>
      </c>
      <c r="I4" s="27">
        <f t="shared" si="3"/>
        <v>0.05769575052</v>
      </c>
      <c r="J4" s="27">
        <f t="shared" si="4"/>
        <v>0.04166420807</v>
      </c>
    </row>
    <row r="5">
      <c r="A5" s="8" t="s">
        <v>61</v>
      </c>
      <c r="B5" s="8" t="s">
        <v>90</v>
      </c>
      <c r="C5" s="8">
        <v>705.33</v>
      </c>
      <c r="D5" s="8">
        <v>772.0</v>
      </c>
      <c r="E5" s="31">
        <f>IFERROR(__xludf.DUMMYFUNCTION("GOOGLEFINANCE(B5,""PRICE"")"),522.5)</f>
        <v>522.5</v>
      </c>
      <c r="F5" s="29">
        <f t="shared" ref="F5:G5" si="6">C5*D5</f>
        <v>544514.76</v>
      </c>
      <c r="G5" s="20">
        <f t="shared" si="6"/>
        <v>403370</v>
      </c>
      <c r="H5" s="20">
        <f>IFERROR(__xludf.DUMMYFUNCTION("GOOGLEFINANCE(B5,""changepct"")"),1.49)</f>
        <v>1.49</v>
      </c>
      <c r="I5" s="27">
        <f t="shared" si="3"/>
        <v>-0.2592120001</v>
      </c>
      <c r="J5" s="27">
        <f t="shared" si="4"/>
        <v>0.02941706809</v>
      </c>
    </row>
    <row r="6">
      <c r="A6" s="8" t="s">
        <v>65</v>
      </c>
      <c r="B6" s="8" t="s">
        <v>91</v>
      </c>
      <c r="C6" s="8">
        <v>969.55</v>
      </c>
      <c r="D6" s="8">
        <v>1130.0</v>
      </c>
      <c r="E6" s="31">
        <f>IFERROR(__xludf.DUMMYFUNCTION("GOOGLEFINANCE(B6,""PRICE"")"),826.0)</f>
        <v>826</v>
      </c>
      <c r="F6" s="29">
        <f t="shared" ref="F6:G6" si="7">C6*D6</f>
        <v>1095591.5</v>
      </c>
      <c r="G6" s="20">
        <f t="shared" si="7"/>
        <v>933380</v>
      </c>
      <c r="H6" s="20">
        <f>IFERROR(__xludf.DUMMYFUNCTION("GOOGLEFINANCE(B6,""changepct"")"),-3.34)</f>
        <v>-3.34</v>
      </c>
      <c r="I6" s="27">
        <f t="shared" si="3"/>
        <v>-0.1480583776</v>
      </c>
      <c r="J6" s="27">
        <f t="shared" si="4"/>
        <v>0.06806976973</v>
      </c>
    </row>
    <row r="7">
      <c r="A7" s="8" t="s">
        <v>92</v>
      </c>
      <c r="B7" s="8" t="s">
        <v>93</v>
      </c>
      <c r="C7" s="8">
        <v>199.4</v>
      </c>
      <c r="D7" s="8">
        <v>2500.0</v>
      </c>
      <c r="E7" s="31">
        <f>IFERROR(__xludf.DUMMYFUNCTION("GOOGLEFINANCE(B7,""PRICE"")"),362.3)</f>
        <v>362.3</v>
      </c>
      <c r="F7" s="29">
        <f t="shared" ref="F7:G7" si="8">C7*D7</f>
        <v>498500</v>
      </c>
      <c r="G7" s="20">
        <f t="shared" si="8"/>
        <v>905750</v>
      </c>
      <c r="H7" s="20">
        <f>IFERROR(__xludf.DUMMYFUNCTION("GOOGLEFINANCE(B7,""changepct"")"),-1.82)</f>
        <v>-1.82</v>
      </c>
      <c r="I7" s="27">
        <f t="shared" si="3"/>
        <v>0.8169508526</v>
      </c>
      <c r="J7" s="27">
        <f t="shared" si="4"/>
        <v>0.06605476219</v>
      </c>
    </row>
    <row r="8">
      <c r="A8" s="8" t="s">
        <v>94</v>
      </c>
      <c r="B8" s="8" t="s">
        <v>17</v>
      </c>
      <c r="C8" s="8">
        <v>421.165546</v>
      </c>
      <c r="D8" s="8">
        <v>1053.0</v>
      </c>
      <c r="E8" s="31">
        <f>IFERROR(__xludf.DUMMYFUNCTION("GOOGLEFINANCE(B8,""PRICE"")"),1227.9)</f>
        <v>1227.9</v>
      </c>
      <c r="F8" s="29">
        <f t="shared" ref="F8:G8" si="9">C8*D8</f>
        <v>443487.3199</v>
      </c>
      <c r="G8" s="20">
        <f t="shared" si="9"/>
        <v>1292978.7</v>
      </c>
      <c r="H8" s="20">
        <f>IFERROR(__xludf.DUMMYFUNCTION("GOOGLEFINANCE(B8,""changepct"")"),-1.4)</f>
        <v>-1.4</v>
      </c>
      <c r="I8" s="27">
        <f t="shared" si="3"/>
        <v>1.91548065</v>
      </c>
      <c r="J8" s="27">
        <f t="shared" si="4"/>
        <v>0.09429467352</v>
      </c>
    </row>
    <row r="9">
      <c r="A9" s="8" t="s">
        <v>59</v>
      </c>
      <c r="B9" s="8" t="s">
        <v>95</v>
      </c>
      <c r="C9" s="8">
        <v>589.86</v>
      </c>
      <c r="D9" s="8">
        <v>1610.0</v>
      </c>
      <c r="E9" s="31">
        <f>IFERROR(__xludf.DUMMYFUNCTION("GOOGLEFINANCE(B9,""PRICE"")"),1225.2)</f>
        <v>1225.2</v>
      </c>
      <c r="F9" s="29">
        <f t="shared" ref="F9:G9" si="10">C9*D9</f>
        <v>949674.6</v>
      </c>
      <c r="G9" s="20">
        <f t="shared" si="10"/>
        <v>1972572</v>
      </c>
      <c r="H9" s="20">
        <f>IFERROR(__xludf.DUMMYFUNCTION("GOOGLEFINANCE(B9,""changepct"")"),1.55)</f>
        <v>1.55</v>
      </c>
      <c r="I9" s="27">
        <f t="shared" si="3"/>
        <v>1.077103041</v>
      </c>
      <c r="J9" s="27">
        <f t="shared" si="4"/>
        <v>0.1438562234</v>
      </c>
    </row>
    <row r="10">
      <c r="A10" s="8" t="s">
        <v>96</v>
      </c>
      <c r="B10" s="8" t="s">
        <v>97</v>
      </c>
      <c r="C10" s="8">
        <v>1164.0</v>
      </c>
      <c r="D10" s="8">
        <v>499.0</v>
      </c>
      <c r="E10" s="31">
        <f>IFERROR(__xludf.DUMMYFUNCTION("GOOGLEFINANCE(B10,""PRICE"")"),1221.0)</f>
        <v>1221</v>
      </c>
      <c r="F10" s="29">
        <f t="shared" ref="F10:G10" si="11">C10*D10</f>
        <v>580836</v>
      </c>
      <c r="G10" s="20">
        <f t="shared" si="11"/>
        <v>609279</v>
      </c>
      <c r="H10" s="20">
        <f>IFERROR(__xludf.DUMMYFUNCTION("GOOGLEFINANCE(B10,""changepct"")"),-3.53)</f>
        <v>-3.53</v>
      </c>
      <c r="I10" s="27">
        <f t="shared" si="3"/>
        <v>0.04896907216</v>
      </c>
      <c r="J10" s="27">
        <f t="shared" si="4"/>
        <v>0.04443365106</v>
      </c>
    </row>
    <row r="11">
      <c r="A11" s="8" t="s">
        <v>98</v>
      </c>
      <c r="B11" s="8" t="s">
        <v>98</v>
      </c>
      <c r="C11" s="8">
        <v>1823.835813</v>
      </c>
      <c r="D11" s="8">
        <v>203.0</v>
      </c>
      <c r="E11" s="31">
        <f>IFERROR(__xludf.DUMMYFUNCTION("GOOGLEFINANCE(B11,""PRICE"")"),2142.5)</f>
        <v>2142.5</v>
      </c>
      <c r="F11" s="29">
        <f t="shared" ref="F11:G11" si="12">C11*D11</f>
        <v>370238.67</v>
      </c>
      <c r="G11" s="20">
        <f t="shared" si="12"/>
        <v>434927.5</v>
      </c>
      <c r="H11" s="20">
        <f>IFERROR(__xludf.DUMMYFUNCTION("GOOGLEFINANCE(B11,""changepct"")"),-1.66)</f>
        <v>-1.66</v>
      </c>
      <c r="I11" s="27">
        <f t="shared" si="3"/>
        <v>0.1747219704</v>
      </c>
      <c r="J11" s="27">
        <f t="shared" si="4"/>
        <v>0.03171850133</v>
      </c>
    </row>
    <row r="12">
      <c r="A12" s="8" t="s">
        <v>99</v>
      </c>
      <c r="B12" s="8" t="s">
        <v>100</v>
      </c>
      <c r="C12" s="8">
        <v>957.7466667</v>
      </c>
      <c r="D12" s="8">
        <v>300.0</v>
      </c>
      <c r="E12" s="31">
        <f>IFERROR(__xludf.DUMMYFUNCTION("GOOGLEFINANCE(B12,""PRICE"")"),1188.0)</f>
        <v>1188</v>
      </c>
      <c r="F12" s="29">
        <f t="shared" ref="F12:G12" si="13">C12*D12</f>
        <v>287324</v>
      </c>
      <c r="G12" s="20">
        <f t="shared" si="13"/>
        <v>356400</v>
      </c>
      <c r="H12" s="20">
        <f>IFERROR(__xludf.DUMMYFUNCTION("GOOGLEFINANCE(B12,""changepct"")"),-0.79)</f>
        <v>-0.79</v>
      </c>
      <c r="I12" s="27">
        <f t="shared" si="3"/>
        <v>0.2404115214</v>
      </c>
      <c r="J12" s="27">
        <f t="shared" si="4"/>
        <v>0.0259916282</v>
      </c>
    </row>
    <row r="13">
      <c r="A13" s="8" t="s">
        <v>101</v>
      </c>
      <c r="B13" s="8" t="s">
        <v>102</v>
      </c>
      <c r="C13" s="8">
        <v>43.81</v>
      </c>
      <c r="D13" s="8">
        <v>10000.0</v>
      </c>
      <c r="E13" s="31">
        <f>IFERROR(__xludf.DUMMYFUNCTION("GOOGLEFINANCE(B13,""PRICE"")"),62.4)</f>
        <v>62.4</v>
      </c>
      <c r="F13" s="29">
        <f t="shared" ref="F13:G13" si="14">C13*D13</f>
        <v>438100</v>
      </c>
      <c r="G13" s="20">
        <f t="shared" si="14"/>
        <v>624000</v>
      </c>
      <c r="H13" s="20">
        <f>IFERROR(__xludf.DUMMYFUNCTION("GOOGLEFINANCE(B13,""changepct"")"),-0.43)</f>
        <v>-0.43</v>
      </c>
      <c r="I13" s="27">
        <f t="shared" si="3"/>
        <v>0.4243323442</v>
      </c>
      <c r="J13" s="27">
        <f t="shared" si="4"/>
        <v>0.04550722783</v>
      </c>
    </row>
    <row r="14">
      <c r="A14" s="8" t="s">
        <v>103</v>
      </c>
      <c r="B14" s="8" t="s">
        <v>104</v>
      </c>
      <c r="C14" s="8">
        <v>128.0</v>
      </c>
      <c r="D14" s="8">
        <v>800.0</v>
      </c>
      <c r="E14" s="31">
        <f>IFERROR(__xludf.DUMMYFUNCTION("GOOGLEFINANCE(B14,""PRICE"")"),240.0)</f>
        <v>240</v>
      </c>
      <c r="F14" s="29">
        <f t="shared" ref="F14:G14" si="15">C14*D14</f>
        <v>102400</v>
      </c>
      <c r="G14" s="20">
        <f t="shared" si="15"/>
        <v>192000</v>
      </c>
      <c r="H14" s="20">
        <f>IFERROR(__xludf.DUMMYFUNCTION("GOOGLEFINANCE(B14,""changepct"")"),0.23)</f>
        <v>0.23</v>
      </c>
      <c r="I14" s="27">
        <f t="shared" si="3"/>
        <v>0.875</v>
      </c>
      <c r="J14" s="27">
        <f t="shared" si="4"/>
        <v>0.01400222395</v>
      </c>
    </row>
    <row r="15">
      <c r="A15" s="8" t="s">
        <v>105</v>
      </c>
      <c r="B15" s="8" t="s">
        <v>106</v>
      </c>
      <c r="C15" s="8">
        <v>93.8</v>
      </c>
      <c r="D15" s="8">
        <v>1000.0</v>
      </c>
      <c r="E15" s="31">
        <f>IFERROR(__xludf.DUMMYFUNCTION("GOOGLEFINANCE(B15,""PRICE"")"),128.73)</f>
        <v>128.73</v>
      </c>
      <c r="F15" s="29">
        <f t="shared" ref="F15:G15" si="16">C15*D15</f>
        <v>93800</v>
      </c>
      <c r="G15" s="20">
        <f t="shared" si="16"/>
        <v>128730</v>
      </c>
      <c r="H15" s="20">
        <f>IFERROR(__xludf.DUMMYFUNCTION("GOOGLEFINANCE(B15,""changepct"")"),-0.16)</f>
        <v>-0.16</v>
      </c>
      <c r="I15" s="27">
        <f t="shared" si="3"/>
        <v>0.3723880597</v>
      </c>
      <c r="J15" s="27">
        <f t="shared" si="4"/>
        <v>0.009388053587</v>
      </c>
    </row>
    <row r="16">
      <c r="A16" s="8" t="s">
        <v>107</v>
      </c>
      <c r="B16" s="8" t="s">
        <v>108</v>
      </c>
      <c r="C16" s="8">
        <v>382.7958923</v>
      </c>
      <c r="D16" s="8">
        <v>1300.0</v>
      </c>
      <c r="E16" s="31">
        <f>IFERROR(__xludf.DUMMYFUNCTION("GOOGLEFINANCE(B16,""PRICE"")"),365.0)</f>
        <v>365</v>
      </c>
      <c r="F16" s="29">
        <f t="shared" ref="F16:G16" si="17">C16*D16</f>
        <v>497634.66</v>
      </c>
      <c r="G16" s="20">
        <f t="shared" si="17"/>
        <v>474500</v>
      </c>
      <c r="H16" s="20">
        <f>IFERROR(__xludf.DUMMYFUNCTION("GOOGLEFINANCE(B16,""changepct"")"),2.26)</f>
        <v>2.26</v>
      </c>
      <c r="I16" s="27">
        <f t="shared" si="3"/>
        <v>-0.04648924573</v>
      </c>
      <c r="J16" s="27">
        <f t="shared" si="4"/>
        <v>0.03460445449</v>
      </c>
    </row>
    <row r="17">
      <c r="A17" s="8" t="s">
        <v>109</v>
      </c>
      <c r="B17" s="8" t="s">
        <v>110</v>
      </c>
      <c r="C17" s="8">
        <v>1348.18</v>
      </c>
      <c r="D17" s="8">
        <v>197.0</v>
      </c>
      <c r="E17" s="31">
        <f>IFERROR(__xludf.DUMMYFUNCTION("GOOGLEFINANCE(B17,""PRICE"")"),1430.5)</f>
        <v>1430.5</v>
      </c>
      <c r="F17" s="29">
        <f t="shared" ref="F17:G17" si="18">C17*D17</f>
        <v>265591.46</v>
      </c>
      <c r="G17" s="20">
        <f t="shared" si="18"/>
        <v>281808.5</v>
      </c>
      <c r="H17" s="20">
        <f>IFERROR(__xludf.DUMMYFUNCTION("GOOGLEFINANCE(B17,""changepct"")"),-0.4)</f>
        <v>-0.4</v>
      </c>
      <c r="I17" s="27">
        <f t="shared" si="3"/>
        <v>0.06106009583</v>
      </c>
      <c r="J17" s="27">
        <f t="shared" si="4"/>
        <v>0.02055180066</v>
      </c>
    </row>
    <row r="18">
      <c r="A18" s="8" t="s">
        <v>111</v>
      </c>
      <c r="B18" s="8" t="s">
        <v>112</v>
      </c>
      <c r="C18" s="8">
        <f>9516.36/5</f>
        <v>1903.272</v>
      </c>
      <c r="D18" s="8">
        <f>55*5</f>
        <v>275</v>
      </c>
      <c r="E18" s="31">
        <f>IFERROR(__xludf.DUMMYFUNCTION("GOOGLEFINANCE(B18,""PRICE"")"),3098.0)</f>
        <v>3098</v>
      </c>
      <c r="F18" s="29">
        <f t="shared" ref="F18:G18" si="19">C18*D18</f>
        <v>523399.8</v>
      </c>
      <c r="G18" s="20">
        <f t="shared" si="19"/>
        <v>851950</v>
      </c>
      <c r="H18" s="20">
        <f>IFERROR(__xludf.DUMMYFUNCTION("GOOGLEFINANCE(B18,""changepct"")"),1.82)</f>
        <v>1.82</v>
      </c>
      <c r="I18" s="27">
        <f t="shared" si="3"/>
        <v>0.6277232051</v>
      </c>
      <c r="J18" s="27">
        <f t="shared" si="4"/>
        <v>0.06213122235</v>
      </c>
    </row>
    <row r="19">
      <c r="A19" s="8" t="s">
        <v>113</v>
      </c>
      <c r="B19" s="8" t="s">
        <v>114</v>
      </c>
      <c r="C19" s="8">
        <v>1727.5</v>
      </c>
      <c r="D19" s="8">
        <v>200.0</v>
      </c>
      <c r="E19" s="31">
        <f>IFERROR(__xludf.DUMMYFUNCTION("GOOGLEFINANCE(B19,""PRICE"")"),2745.1)</f>
        <v>2745.1</v>
      </c>
      <c r="F19" s="29">
        <f t="shared" ref="F19:G19" si="20">C19*D19</f>
        <v>345500</v>
      </c>
      <c r="G19" s="20">
        <f t="shared" si="20"/>
        <v>549020</v>
      </c>
      <c r="H19" s="20">
        <f>IFERROR(__xludf.DUMMYFUNCTION("GOOGLEFINANCE(B19,""changepct"")"),0.71)</f>
        <v>0.71</v>
      </c>
      <c r="I19" s="27">
        <f t="shared" si="3"/>
        <v>0.5890593343</v>
      </c>
      <c r="J19" s="27">
        <f t="shared" si="4"/>
        <v>0.04003906766</v>
      </c>
    </row>
    <row r="20">
      <c r="A20" s="8" t="s">
        <v>115</v>
      </c>
      <c r="B20" s="8" t="s">
        <v>116</v>
      </c>
      <c r="C20" s="8">
        <v>753.69</v>
      </c>
      <c r="D20" s="8">
        <v>150.0</v>
      </c>
      <c r="E20" s="31">
        <f>IFERROR(__xludf.DUMMYFUNCTION("GOOGLEFINANCE(B20,""PRICE"")"),767.0)</f>
        <v>767</v>
      </c>
      <c r="F20" s="29">
        <f t="shared" ref="F20:G20" si="21">C20*D20</f>
        <v>113053.5</v>
      </c>
      <c r="G20" s="20">
        <f t="shared" si="21"/>
        <v>115050</v>
      </c>
      <c r="H20" s="20">
        <f>IFERROR(__xludf.DUMMYFUNCTION("GOOGLEFINANCE(B20,""changepct"")"),-1.37)</f>
        <v>-1.37</v>
      </c>
      <c r="I20" s="27">
        <f t="shared" si="3"/>
        <v>0.01765978055</v>
      </c>
      <c r="J20" s="27">
        <f t="shared" si="4"/>
        <v>0.008390395131</v>
      </c>
    </row>
    <row r="21">
      <c r="A21" s="8" t="s">
        <v>60</v>
      </c>
      <c r="B21" s="8" t="s">
        <v>117</v>
      </c>
      <c r="C21" s="8">
        <v>1820.0</v>
      </c>
      <c r="D21" s="8">
        <v>50.0</v>
      </c>
      <c r="E21" s="31">
        <f>IFERROR(__xludf.DUMMYFUNCTION("GOOGLEFINANCE(B21,""PRICE"")"),2521.8)</f>
        <v>2521.8</v>
      </c>
      <c r="F21" s="29">
        <f t="shared" ref="F21:G21" si="22">C21*D21</f>
        <v>91000</v>
      </c>
      <c r="G21" s="20">
        <f t="shared" si="22"/>
        <v>126090</v>
      </c>
      <c r="H21" s="20">
        <f>IFERROR(__xludf.DUMMYFUNCTION("GOOGLEFINANCE(B21,""changepct"")"),-1.03)</f>
        <v>-1.03</v>
      </c>
      <c r="I21" s="27">
        <f t="shared" si="3"/>
        <v>0.3856043956</v>
      </c>
      <c r="J21" s="27">
        <f t="shared" si="4"/>
        <v>0.009195523008</v>
      </c>
    </row>
    <row r="22">
      <c r="A22" s="8" t="s">
        <v>118</v>
      </c>
      <c r="B22" s="8" t="s">
        <v>119</v>
      </c>
      <c r="C22" s="8">
        <v>524.17</v>
      </c>
      <c r="D22" s="8">
        <v>600.0</v>
      </c>
      <c r="E22" s="31">
        <f>IFERROR(__xludf.DUMMYFUNCTION("GOOGLEFINANCE(B22,""PRICE"")"),579.65)</f>
        <v>579.65</v>
      </c>
      <c r="F22" s="29">
        <f t="shared" ref="F22:G22" si="23">C22*D22</f>
        <v>314502</v>
      </c>
      <c r="G22" s="20">
        <f t="shared" si="23"/>
        <v>347790</v>
      </c>
      <c r="H22" s="20">
        <f>IFERROR(__xludf.DUMMYFUNCTION("GOOGLEFINANCE(B22,""changepct"")"),0.17)</f>
        <v>0.17</v>
      </c>
      <c r="I22" s="27">
        <f t="shared" si="3"/>
        <v>0.105843524</v>
      </c>
      <c r="J22" s="27">
        <f t="shared" si="4"/>
        <v>0.02536371597</v>
      </c>
    </row>
    <row r="23">
      <c r="A23" s="8" t="s">
        <v>120</v>
      </c>
      <c r="B23" s="8" t="s">
        <v>121</v>
      </c>
      <c r="C23" s="8">
        <v>116.19</v>
      </c>
      <c r="D23" s="8">
        <v>207.0</v>
      </c>
      <c r="E23" s="31">
        <f>IFERROR(__xludf.DUMMYFUNCTION("GOOGLEFINANCE(B23,""PRICE"")"),141.1)</f>
        <v>141.1</v>
      </c>
      <c r="F23" s="29">
        <f t="shared" ref="F23:G23" si="24">C23*D23</f>
        <v>24051.33</v>
      </c>
      <c r="G23" s="20">
        <f t="shared" si="24"/>
        <v>29207.7</v>
      </c>
      <c r="H23" s="20">
        <f>IFERROR(__xludf.DUMMYFUNCTION("GOOGLEFINANCE(B23,""changepct"")"),1.05)</f>
        <v>1.05</v>
      </c>
      <c r="I23" s="27">
        <f t="shared" si="3"/>
        <v>0.2143902229</v>
      </c>
      <c r="J23" s="27">
        <f t="shared" si="4"/>
        <v>0.002130066439</v>
      </c>
    </row>
    <row r="27">
      <c r="F27" s="20">
        <f t="shared" ref="F27:G27" si="25">SUM(F2:F23)</f>
        <v>8672039.9</v>
      </c>
      <c r="G27" s="20">
        <f t="shared" si="25"/>
        <v>13712107.5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6.0"/>
  </cols>
  <sheetData>
    <row r="1">
      <c r="A1" s="8" t="s">
        <v>78</v>
      </c>
      <c r="B1" s="8" t="s">
        <v>79</v>
      </c>
      <c r="C1" s="8" t="s">
        <v>80</v>
      </c>
      <c r="D1" s="8" t="s">
        <v>81</v>
      </c>
      <c r="E1" s="32" t="s">
        <v>2</v>
      </c>
      <c r="F1" s="8" t="s">
        <v>82</v>
      </c>
      <c r="G1" s="8" t="s">
        <v>30</v>
      </c>
      <c r="H1" s="8" t="s">
        <v>83</v>
      </c>
      <c r="I1" s="8" t="s">
        <v>84</v>
      </c>
      <c r="J1" s="8" t="s">
        <v>3</v>
      </c>
    </row>
    <row r="2">
      <c r="A2" s="8" t="s">
        <v>122</v>
      </c>
      <c r="B2" s="8" t="s">
        <v>122</v>
      </c>
      <c r="C2" s="8">
        <v>85.09</v>
      </c>
      <c r="D2" s="8">
        <v>23.43646</v>
      </c>
      <c r="E2" s="33">
        <f>IFERROR(__xludf.DUMMYFUNCTION("GOOGLEFINANCE(B2,""PRICE"")"),97.24)</f>
        <v>97.24</v>
      </c>
      <c r="F2" s="29">
        <f t="shared" ref="F2:G2" si="1">C2*D2</f>
        <v>1994.208381</v>
      </c>
      <c r="G2" s="20">
        <f t="shared" si="1"/>
        <v>2278.96137</v>
      </c>
      <c r="H2" s="30">
        <f>IFERROR(__xludf.DUMMYFUNCTION("GOOGLEFINANCE(B2,""changepct"")"),3.17)</f>
        <v>3.17</v>
      </c>
      <c r="I2" s="27">
        <f>(E2-C2)/C2</f>
        <v>0.1427899871</v>
      </c>
      <c r="J2" s="27">
        <f>G2/G$15</f>
        <v>0.08240118115</v>
      </c>
      <c r="L2" s="8" t="s">
        <v>123</v>
      </c>
      <c r="M2" s="8" t="s">
        <v>124</v>
      </c>
    </row>
    <row r="3">
      <c r="A3" s="8" t="s">
        <v>125</v>
      </c>
      <c r="B3" s="8" t="s">
        <v>125</v>
      </c>
      <c r="C3" s="8">
        <v>87.06</v>
      </c>
      <c r="D3" s="8">
        <v>14.888834</v>
      </c>
      <c r="E3" s="33">
        <f>IFERROR(__xludf.DUMMYFUNCTION("GOOGLEFINANCE(B3,""PRICE"")"),106.38)</f>
        <v>106.38</v>
      </c>
      <c r="F3" s="29">
        <f t="shared" ref="F3:G3" si="2">C3*D3</f>
        <v>1296.221888</v>
      </c>
      <c r="G3" s="20">
        <f t="shared" si="2"/>
        <v>1583.874161</v>
      </c>
      <c r="H3" s="30"/>
      <c r="I3" s="27"/>
      <c r="J3" s="27"/>
      <c r="M3" s="8">
        <v>1360.0</v>
      </c>
    </row>
    <row r="4">
      <c r="A4" s="8" t="s">
        <v>126</v>
      </c>
      <c r="B4" s="8" t="s">
        <v>126</v>
      </c>
      <c r="C4" s="8">
        <v>84.2</v>
      </c>
      <c r="D4" s="8">
        <v>11.841568</v>
      </c>
      <c r="E4" s="33">
        <f>IFERROR(__xludf.DUMMYFUNCTION("GOOGLEFINANCE(B4,""PRICE"")"),94.59)</f>
        <v>94.59</v>
      </c>
      <c r="F4" s="29">
        <f t="shared" ref="F4:G4" si="3">C4*D4</f>
        <v>997.0600256</v>
      </c>
      <c r="G4" s="20">
        <f t="shared" si="3"/>
        <v>1120.093917</v>
      </c>
      <c r="H4" s="30">
        <f>IFERROR(__xludf.DUMMYFUNCTION("GOOGLEFINANCE(B4,""changepct"")"),3.13)</f>
        <v>3.13</v>
      </c>
      <c r="I4" s="27">
        <f t="shared" ref="I4:I13" si="5">(E4-C4)/C4</f>
        <v>0.1233966746</v>
      </c>
      <c r="J4" s="27">
        <f t="shared" ref="J4:J13" si="6">G4/G$15</f>
        <v>0.04049961661</v>
      </c>
    </row>
    <row r="5">
      <c r="A5" s="34" t="s">
        <v>127</v>
      </c>
      <c r="B5" s="8" t="s">
        <v>127</v>
      </c>
      <c r="C5" s="8">
        <v>278.0</v>
      </c>
      <c r="D5" s="8">
        <v>6.097122</v>
      </c>
      <c r="E5" s="33">
        <f>IFERROR(__xludf.DUMMYFUNCTION("GOOGLEFINANCE(B5,""PRICE"")"),261.03)</f>
        <v>261.03</v>
      </c>
      <c r="F5" s="29">
        <f t="shared" ref="F5:G5" si="4">C5*D5</f>
        <v>1694.999916</v>
      </c>
      <c r="G5" s="20">
        <f t="shared" si="4"/>
        <v>1591.531756</v>
      </c>
      <c r="H5" s="30">
        <f>IFERROR(__xludf.DUMMYFUNCTION("GOOGLEFINANCE(B5,""changepct"")"),0.92)</f>
        <v>0.92</v>
      </c>
      <c r="I5" s="27">
        <f t="shared" si="5"/>
        <v>-0.06104316547</v>
      </c>
      <c r="J5" s="27">
        <f t="shared" si="6"/>
        <v>0.05754555483</v>
      </c>
    </row>
    <row r="6">
      <c r="A6" s="8" t="s">
        <v>128</v>
      </c>
      <c r="B6" s="8" t="s">
        <v>128</v>
      </c>
      <c r="C6" s="8">
        <v>425.15</v>
      </c>
      <c r="D6" s="8">
        <v>14.794255</v>
      </c>
      <c r="E6" s="33">
        <f>IFERROR(__xludf.DUMMYFUNCTION("GOOGLEFINANCE(B6,""PRICE"")"),433.77)</f>
        <v>433.77</v>
      </c>
      <c r="F6" s="29">
        <f t="shared" ref="F6:G6" si="7">C6*D6</f>
        <v>6289.777513</v>
      </c>
      <c r="G6" s="20">
        <f t="shared" si="7"/>
        <v>6417.303991</v>
      </c>
      <c r="H6" s="30">
        <f>IFERROR(__xludf.DUMMYFUNCTION("GOOGLEFINANCE(B6,""changepct"")"),0.48)</f>
        <v>0.48</v>
      </c>
      <c r="I6" s="27">
        <f t="shared" si="5"/>
        <v>0.02027519699</v>
      </c>
      <c r="J6" s="27">
        <f t="shared" si="6"/>
        <v>0.2320326424</v>
      </c>
    </row>
    <row r="7">
      <c r="A7" s="8" t="s">
        <v>129</v>
      </c>
      <c r="B7" s="8" t="s">
        <v>129</v>
      </c>
      <c r="C7" s="8">
        <v>64.78</v>
      </c>
      <c r="D7" s="8">
        <v>15.392667</v>
      </c>
      <c r="E7" s="33">
        <f>IFERROR(__xludf.DUMMYFUNCTION("GOOGLEFINANCE(B7,""PRICE"")"),64.99)</f>
        <v>64.99</v>
      </c>
      <c r="F7" s="29">
        <f t="shared" ref="F7:G7" si="8">C7*D7</f>
        <v>997.1369683</v>
      </c>
      <c r="G7" s="20">
        <f t="shared" si="8"/>
        <v>1000.369428</v>
      </c>
      <c r="H7" s="30">
        <f>IFERROR(__xludf.DUMMYFUNCTION("GOOGLEFINANCE(B7,""changepct"")"),-3.01)</f>
        <v>-3.01</v>
      </c>
      <c r="I7" s="27">
        <f t="shared" si="5"/>
        <v>0.003241741278</v>
      </c>
      <c r="J7" s="27">
        <f t="shared" si="6"/>
        <v>0.03617069756</v>
      </c>
    </row>
    <row r="8">
      <c r="A8" s="8" t="s">
        <v>130</v>
      </c>
      <c r="B8" s="8" t="s">
        <v>130</v>
      </c>
      <c r="C8" s="8">
        <v>65.68</v>
      </c>
      <c r="D8" s="8">
        <v>30.361738</v>
      </c>
      <c r="E8" s="33">
        <f>IFERROR(__xludf.DUMMYFUNCTION("GOOGLEFINANCE(B8,""PRICE"")"),73.01)</f>
        <v>73.01</v>
      </c>
      <c r="F8" s="29">
        <f t="shared" ref="F8:G8" si="9">C8*D8</f>
        <v>1994.158952</v>
      </c>
      <c r="G8" s="20">
        <f t="shared" si="9"/>
        <v>2216.710491</v>
      </c>
      <c r="H8" s="30">
        <f>IFERROR(__xludf.DUMMYFUNCTION("GOOGLEFINANCE(B8,""changepct"")"),1.97)</f>
        <v>1.97</v>
      </c>
      <c r="I8" s="27">
        <f t="shared" si="5"/>
        <v>0.1116017052</v>
      </c>
      <c r="J8" s="27">
        <f t="shared" si="6"/>
        <v>0.08015035495</v>
      </c>
    </row>
    <row r="9">
      <c r="A9" s="8" t="s">
        <v>131</v>
      </c>
      <c r="B9" s="8" t="s">
        <v>132</v>
      </c>
      <c r="C9" s="8">
        <v>45.0</v>
      </c>
      <c r="D9" s="8">
        <v>10.0</v>
      </c>
      <c r="E9" s="33">
        <f>IFERROR(__xludf.DUMMYFUNCTION("GOOGLEFINANCE(B9,""PRICE"")"),105.47)</f>
        <v>105.47</v>
      </c>
      <c r="F9" s="29">
        <f t="shared" ref="F9:G9" si="10">C9*D9</f>
        <v>450</v>
      </c>
      <c r="G9" s="20">
        <f t="shared" si="10"/>
        <v>1054.7</v>
      </c>
      <c r="H9" s="30">
        <f>IFERROR(__xludf.DUMMYFUNCTION("GOOGLEFINANCE(B9,""changepct"")"),34.22)</f>
        <v>34.22</v>
      </c>
      <c r="I9" s="27">
        <f t="shared" si="5"/>
        <v>1.343777778</v>
      </c>
      <c r="J9" s="27">
        <f t="shared" si="6"/>
        <v>0.03813514651</v>
      </c>
    </row>
    <row r="10">
      <c r="A10" s="8" t="s">
        <v>133</v>
      </c>
      <c r="B10" s="8" t="s">
        <v>133</v>
      </c>
      <c r="C10" s="8">
        <v>77.0</v>
      </c>
      <c r="D10" s="8">
        <v>22.013006</v>
      </c>
      <c r="E10" s="33">
        <f>IFERROR(__xludf.DUMMYFUNCTION("GOOGLEFINANCE(B10,""PRICE"")"),85.97)</f>
        <v>85.97</v>
      </c>
      <c r="F10" s="29">
        <f t="shared" ref="F10:G10" si="11">C10*D10</f>
        <v>1695.001462</v>
      </c>
      <c r="G10" s="20">
        <f t="shared" si="11"/>
        <v>1892.458126</v>
      </c>
      <c r="H10" s="30">
        <f>IFERROR(__xludf.DUMMYFUNCTION("GOOGLEFINANCE(B10,""changepct"")"),4.07)</f>
        <v>4.07</v>
      </c>
      <c r="I10" s="27">
        <f t="shared" si="5"/>
        <v>0.1164935065</v>
      </c>
      <c r="J10" s="27">
        <f t="shared" si="6"/>
        <v>0.06842625192</v>
      </c>
    </row>
    <row r="11">
      <c r="A11" s="8" t="s">
        <v>134</v>
      </c>
      <c r="B11" s="8" t="s">
        <v>134</v>
      </c>
      <c r="C11" s="8">
        <v>168.76</v>
      </c>
      <c r="D11" s="8">
        <v>10.043631</v>
      </c>
      <c r="E11" s="33">
        <f>IFERROR(__xludf.DUMMYFUNCTION("GOOGLEFINANCE(B11,""PRICE"")"),197.22)</f>
        <v>197.22</v>
      </c>
      <c r="F11" s="29">
        <f t="shared" ref="F11:G11" si="12">C11*D11</f>
        <v>1694.963168</v>
      </c>
      <c r="G11" s="20">
        <f t="shared" si="12"/>
        <v>1980.804906</v>
      </c>
      <c r="H11" s="30">
        <f>IFERROR(__xludf.DUMMYFUNCTION("GOOGLEFINANCE(B11,""changepct"")"),2.26)</f>
        <v>2.26</v>
      </c>
      <c r="I11" s="27">
        <f t="shared" si="5"/>
        <v>0.1686418583</v>
      </c>
      <c r="J11" s="27">
        <f t="shared" si="6"/>
        <v>0.07162063648</v>
      </c>
    </row>
    <row r="12">
      <c r="A12" s="8" t="s">
        <v>135</v>
      </c>
      <c r="B12" s="8" t="s">
        <v>135</v>
      </c>
      <c r="C12" s="8">
        <v>54.14</v>
      </c>
      <c r="D12" s="8">
        <v>36.829991</v>
      </c>
      <c r="E12" s="33">
        <f>IFERROR(__xludf.DUMMYFUNCTION("GOOGLEFINANCE(B12,""PRICE"")"),53.17)</f>
        <v>53.17</v>
      </c>
      <c r="F12" s="29">
        <f t="shared" ref="F12:G12" si="13">C12*D12</f>
        <v>1993.975713</v>
      </c>
      <c r="G12" s="20">
        <f t="shared" si="13"/>
        <v>1958.250621</v>
      </c>
      <c r="H12" s="30">
        <f>IFERROR(__xludf.DUMMYFUNCTION("GOOGLEFINANCE(B12,""changepct"")"),-1.15)</f>
        <v>-1.15</v>
      </c>
      <c r="I12" s="27">
        <f t="shared" si="5"/>
        <v>-0.01791651274</v>
      </c>
      <c r="J12" s="27">
        <f t="shared" si="6"/>
        <v>0.07080513355</v>
      </c>
    </row>
    <row r="13">
      <c r="A13" s="8" t="s">
        <v>136</v>
      </c>
      <c r="B13" s="8" t="s">
        <v>136</v>
      </c>
      <c r="C13" s="8">
        <v>138.49</v>
      </c>
      <c r="D13" s="8">
        <v>32.397152</v>
      </c>
      <c r="E13" s="33">
        <f>IFERROR(__xludf.DUMMYFUNCTION("GOOGLEFINANCE(B13,""PRICE"")"),140.81)</f>
        <v>140.81</v>
      </c>
      <c r="F13" s="29">
        <f t="shared" ref="F13:G13" si="14">C13*D13</f>
        <v>4486.68158</v>
      </c>
      <c r="G13" s="20">
        <f t="shared" si="14"/>
        <v>4561.842973</v>
      </c>
      <c r="H13" s="30">
        <f>IFERROR(__xludf.DUMMYFUNCTION("GOOGLEFINANCE(B13,""changepct"")"),-1.09)</f>
        <v>-1.09</v>
      </c>
      <c r="I13" s="27">
        <f t="shared" si="5"/>
        <v>0.01675211207</v>
      </c>
      <c r="J13" s="27">
        <f t="shared" si="6"/>
        <v>0.1649441075</v>
      </c>
      <c r="L13" s="8" t="s">
        <v>137</v>
      </c>
    </row>
    <row r="14">
      <c r="E14" s="35"/>
    </row>
    <row r="15">
      <c r="E15" s="35"/>
      <c r="F15" s="20">
        <f t="shared" ref="F15:G15" si="15">SUM(F2:F13)</f>
        <v>25584.18557</v>
      </c>
      <c r="G15" s="20">
        <f t="shared" si="15"/>
        <v>27656.90174</v>
      </c>
      <c r="I15" s="20">
        <f>G15-F15</f>
        <v>2072.716174</v>
      </c>
    </row>
    <row r="16">
      <c r="E16" s="35"/>
    </row>
    <row r="17">
      <c r="A17" s="8" t="s">
        <v>78</v>
      </c>
      <c r="B17" s="8" t="s">
        <v>79</v>
      </c>
      <c r="C17" s="8" t="s">
        <v>80</v>
      </c>
      <c r="D17" s="8" t="s">
        <v>81</v>
      </c>
      <c r="E17" s="32" t="s">
        <v>2</v>
      </c>
      <c r="F17" s="8" t="s">
        <v>82</v>
      </c>
      <c r="G17" s="8" t="s">
        <v>30</v>
      </c>
      <c r="H17" s="8" t="s">
        <v>83</v>
      </c>
      <c r="I17" s="8" t="s">
        <v>84</v>
      </c>
      <c r="J17" s="8" t="s">
        <v>3</v>
      </c>
    </row>
    <row r="18">
      <c r="A18" s="8" t="s">
        <v>122</v>
      </c>
      <c r="B18" s="8" t="s">
        <v>122</v>
      </c>
      <c r="C18" s="8">
        <v>90.2</v>
      </c>
      <c r="D18" s="8">
        <v>44.21774939</v>
      </c>
      <c r="E18" s="36">
        <f>IFERROR(__xludf.DUMMYFUNCTION("GOOGLEFINANCE(B18,""PRICE"")"),97.24)</f>
        <v>97.24</v>
      </c>
      <c r="F18" s="29">
        <f t="shared" ref="F18:G18" si="16">C18*D18</f>
        <v>3988.440995</v>
      </c>
      <c r="G18" s="20">
        <f t="shared" si="16"/>
        <v>4299.733951</v>
      </c>
      <c r="H18" s="30">
        <f>IFERROR(__xludf.DUMMYFUNCTION("GOOGLEFINANCE(B18,""changepct"")"),3.17)</f>
        <v>3.17</v>
      </c>
      <c r="I18" s="27">
        <f t="shared" ref="I18:I20" si="18">(E18-C18)/C18</f>
        <v>0.07804878049</v>
      </c>
      <c r="J18" s="27">
        <f t="shared" ref="J18:J20" si="19">G18/G$31</f>
        <v>0.1198047525</v>
      </c>
      <c r="M18" s="8" t="s">
        <v>124</v>
      </c>
    </row>
    <row r="19">
      <c r="A19" s="8" t="s">
        <v>136</v>
      </c>
      <c r="B19" s="8" t="s">
        <v>136</v>
      </c>
      <c r="C19" s="8">
        <v>135.46</v>
      </c>
      <c r="D19" s="8">
        <v>22.08136459</v>
      </c>
      <c r="E19" s="36">
        <f>IFERROR(__xludf.DUMMYFUNCTION("GOOGLEFINANCE(B19,""PRICE"")"),140.81)</f>
        <v>140.81</v>
      </c>
      <c r="F19" s="29">
        <f t="shared" ref="F19:G19" si="17">C19*D19</f>
        <v>2991.141647</v>
      </c>
      <c r="G19" s="20">
        <f t="shared" si="17"/>
        <v>3109.276948</v>
      </c>
      <c r="H19" s="30">
        <f>IFERROR(__xludf.DUMMYFUNCTION("GOOGLEFINANCE(B19,""changepct"")"),-1.09)</f>
        <v>-1.09</v>
      </c>
      <c r="I19" s="27">
        <f t="shared" si="18"/>
        <v>0.03949505389</v>
      </c>
      <c r="J19" s="27">
        <f t="shared" si="19"/>
        <v>0.0866346987</v>
      </c>
      <c r="M19" s="8">
        <v>2035.0</v>
      </c>
    </row>
    <row r="20">
      <c r="A20" s="8" t="s">
        <v>126</v>
      </c>
      <c r="B20" s="8" t="s">
        <v>126</v>
      </c>
      <c r="C20" s="8">
        <v>90.76</v>
      </c>
      <c r="D20" s="8">
        <v>39.54997072</v>
      </c>
      <c r="E20" s="36">
        <f>IFERROR(__xludf.DUMMYFUNCTION("GOOGLEFINANCE(B20,""PRICE"")"),94.59)</f>
        <v>94.59</v>
      </c>
      <c r="F20" s="29">
        <f t="shared" ref="F20:G20" si="20">C20*D20</f>
        <v>3589.555343</v>
      </c>
      <c r="G20" s="20">
        <f t="shared" si="20"/>
        <v>3741.03173</v>
      </c>
      <c r="H20" s="30">
        <f>IFERROR(__xludf.DUMMYFUNCTION("GOOGLEFINANCE(B20,""changepct"")"),3.13)</f>
        <v>3.13</v>
      </c>
      <c r="I20" s="27">
        <f t="shared" si="18"/>
        <v>0.0421992067</v>
      </c>
      <c r="J20" s="27">
        <f t="shared" si="19"/>
        <v>0.1042374681</v>
      </c>
    </row>
    <row r="21">
      <c r="A21" s="34" t="s">
        <v>138</v>
      </c>
      <c r="B21" s="8" t="s">
        <v>138</v>
      </c>
      <c r="E21" s="36"/>
      <c r="F21" s="29"/>
      <c r="H21" s="30"/>
      <c r="I21" s="27"/>
      <c r="J21" s="27"/>
    </row>
    <row r="22">
      <c r="A22" s="8" t="s">
        <v>127</v>
      </c>
      <c r="B22" s="8" t="s">
        <v>127</v>
      </c>
      <c r="C22" s="8">
        <v>236.08</v>
      </c>
      <c r="D22" s="8">
        <v>8.44695542</v>
      </c>
      <c r="E22" s="36">
        <f>IFERROR(__xludf.DUMMYFUNCTION("GOOGLEFINANCE(B22,""PRICE"")"),261.03)</f>
        <v>261.03</v>
      </c>
      <c r="F22" s="29">
        <f t="shared" ref="F22:G22" si="21">C22*D22</f>
        <v>1994.157236</v>
      </c>
      <c r="G22" s="20">
        <f t="shared" si="21"/>
        <v>2204.908773</v>
      </c>
      <c r="H22" s="30">
        <f>IFERROR(__xludf.DUMMYFUNCTION("GOOGLEFINANCE(B22,""changepct"")"),0.92)</f>
        <v>0.92</v>
      </c>
      <c r="I22" s="27">
        <f t="shared" ref="I22:I28" si="23">(E22-C22)/C22</f>
        <v>0.1056845137</v>
      </c>
      <c r="J22" s="27">
        <f t="shared" ref="J22:J28" si="24">G22/G$31</f>
        <v>0.06143602208</v>
      </c>
    </row>
    <row r="23">
      <c r="A23" s="8" t="s">
        <v>133</v>
      </c>
      <c r="B23" s="8" t="s">
        <v>133</v>
      </c>
      <c r="C23" s="8">
        <v>82.1</v>
      </c>
      <c r="D23" s="8">
        <v>48.57603539</v>
      </c>
      <c r="E23" s="36">
        <f>IFERROR(__xludf.DUMMYFUNCTION("GOOGLEFINANCE(B23,""PRICE"")"),85.97)</f>
        <v>85.97</v>
      </c>
      <c r="F23" s="29">
        <f t="shared" ref="F23:G23" si="22">C23*D23</f>
        <v>3988.092506</v>
      </c>
      <c r="G23" s="20">
        <f t="shared" si="22"/>
        <v>4176.081762</v>
      </c>
      <c r="H23" s="30">
        <f>IFERROR(__xludf.DUMMYFUNCTION("GOOGLEFINANCE(B23,""changepct"")"),4.07)</f>
        <v>4.07</v>
      </c>
      <c r="I23" s="27">
        <f t="shared" si="23"/>
        <v>0.04713763703</v>
      </c>
      <c r="J23" s="27">
        <f t="shared" si="24"/>
        <v>0.1163593952</v>
      </c>
      <c r="L23" s="20">
        <f>F31+F15</f>
        <v>60179.02656</v>
      </c>
    </row>
    <row r="24">
      <c r="A24" s="8" t="s">
        <v>129</v>
      </c>
      <c r="B24" s="8" t="s">
        <v>129</v>
      </c>
      <c r="C24" s="8">
        <v>67.51</v>
      </c>
      <c r="D24" s="8">
        <v>44.3102263</v>
      </c>
      <c r="E24" s="36">
        <f>IFERROR(__xludf.DUMMYFUNCTION("GOOGLEFINANCE(B24,""PRICE"")"),64.99)</f>
        <v>64.99</v>
      </c>
      <c r="F24" s="29">
        <f t="shared" ref="F24:G24" si="25">C24*D24</f>
        <v>2991.383378</v>
      </c>
      <c r="G24" s="20">
        <f t="shared" si="25"/>
        <v>2879.721607</v>
      </c>
      <c r="H24" s="30">
        <f>IFERROR(__xludf.DUMMYFUNCTION("GOOGLEFINANCE(B24,""changepct"")"),-3.01)</f>
        <v>-3.01</v>
      </c>
      <c r="I24" s="27">
        <f t="shared" si="23"/>
        <v>-0.03732780329</v>
      </c>
      <c r="J24" s="27">
        <f t="shared" si="24"/>
        <v>0.08023853068</v>
      </c>
    </row>
    <row r="25">
      <c r="A25" s="8" t="s">
        <v>139</v>
      </c>
      <c r="B25" s="8" t="s">
        <v>139</v>
      </c>
      <c r="C25" s="8">
        <v>34.94</v>
      </c>
      <c r="D25" s="8">
        <v>29.0</v>
      </c>
      <c r="E25" s="33">
        <f>IFERROR(__xludf.DUMMYFUNCTION("GOOGLEFINANCE(B25,""PRICE"")"),32.29)</f>
        <v>32.29</v>
      </c>
      <c r="F25" s="29">
        <f t="shared" ref="F25:G25" si="26">C25*D25</f>
        <v>1013.26</v>
      </c>
      <c r="G25" s="20">
        <f t="shared" si="26"/>
        <v>936.41</v>
      </c>
      <c r="H25" s="30">
        <f>IFERROR(__xludf.DUMMYFUNCTION("GOOGLEFINANCE(B25,""changepct"")"),0.4)</f>
        <v>0.4</v>
      </c>
      <c r="I25" s="27">
        <f t="shared" si="23"/>
        <v>-0.07584430452</v>
      </c>
      <c r="J25" s="27">
        <f t="shared" si="24"/>
        <v>0.02609146743</v>
      </c>
    </row>
    <row r="26">
      <c r="A26" s="8" t="s">
        <v>134</v>
      </c>
      <c r="B26" s="8" t="s">
        <v>134</v>
      </c>
      <c r="C26" s="8">
        <v>178.68</v>
      </c>
      <c r="D26" s="8">
        <v>19.53059496</v>
      </c>
      <c r="E26" s="33">
        <f>IFERROR(__xludf.DUMMYFUNCTION("GOOGLEFINANCE(B26,""PRICE"")"),197.22)</f>
        <v>197.22</v>
      </c>
      <c r="F26" s="29">
        <f t="shared" ref="F26:G26" si="27">C26*D26</f>
        <v>3489.726707</v>
      </c>
      <c r="G26" s="20">
        <f t="shared" si="27"/>
        <v>3851.823938</v>
      </c>
      <c r="H26" s="30">
        <f>IFERROR(__xludf.DUMMYFUNCTION("GOOGLEFINANCE(B26,""changepct"")"),2.26)</f>
        <v>2.26</v>
      </c>
      <c r="I26" s="27">
        <f t="shared" si="23"/>
        <v>0.1037609134</v>
      </c>
      <c r="J26" s="27">
        <f t="shared" si="24"/>
        <v>0.107324504</v>
      </c>
    </row>
    <row r="27">
      <c r="A27" s="8" t="s">
        <v>128</v>
      </c>
      <c r="B27" s="8" t="s">
        <v>128</v>
      </c>
      <c r="C27" s="8">
        <v>435.89</v>
      </c>
      <c r="D27" s="8">
        <v>10.29346847</v>
      </c>
      <c r="E27" s="33">
        <f>IFERROR(__xludf.DUMMYFUNCTION("GOOGLEFINANCE(B27,""PRICE"")"),433.77)</f>
        <v>433.77</v>
      </c>
      <c r="F27" s="29">
        <f t="shared" ref="F27:G27" si="28">C27*D27</f>
        <v>4486.819971</v>
      </c>
      <c r="G27" s="20">
        <f t="shared" si="28"/>
        <v>4464.997818</v>
      </c>
      <c r="H27" s="30">
        <f>IFERROR(__xludf.DUMMYFUNCTION("GOOGLEFINANCE(B27,""changepct"")"),0.48)</f>
        <v>0.48</v>
      </c>
      <c r="I27" s="27">
        <f t="shared" si="23"/>
        <v>-0.004863612379</v>
      </c>
      <c r="J27" s="27">
        <f t="shared" si="24"/>
        <v>0.1244095483</v>
      </c>
    </row>
    <row r="28">
      <c r="A28" s="8" t="s">
        <v>130</v>
      </c>
      <c r="B28" s="8" t="s">
        <v>130</v>
      </c>
      <c r="C28" s="8">
        <v>68.86</v>
      </c>
      <c r="D28" s="8">
        <v>51.8392746</v>
      </c>
      <c r="E28" s="33">
        <f>IFERROR(__xludf.DUMMYFUNCTION("GOOGLEFINANCE(B28,""PRICE"")"),73.01)</f>
        <v>73.01</v>
      </c>
      <c r="F28" s="29">
        <f t="shared" ref="F28:G28" si="29">C28*D28</f>
        <v>3569.652449</v>
      </c>
      <c r="G28" s="20">
        <f t="shared" si="29"/>
        <v>3784.785439</v>
      </c>
      <c r="H28" s="30">
        <f>IFERROR(__xludf.DUMMYFUNCTION("GOOGLEFINANCE(B28,""changepct"")"),1.97)</f>
        <v>1.97</v>
      </c>
      <c r="I28" s="27">
        <f t="shared" si="23"/>
        <v>0.06026720883</v>
      </c>
      <c r="J28" s="27">
        <f t="shared" si="24"/>
        <v>0.1054565906</v>
      </c>
    </row>
    <row r="29">
      <c r="E29" s="33"/>
      <c r="F29" s="29"/>
      <c r="H29" s="30"/>
      <c r="I29" s="27"/>
      <c r="J29" s="27"/>
    </row>
    <row r="30">
      <c r="A30" s="8" t="s">
        <v>135</v>
      </c>
      <c r="B30" s="8" t="s">
        <v>135</v>
      </c>
      <c r="C30" s="8">
        <v>54.3</v>
      </c>
      <c r="D30" s="8">
        <v>45.904434</v>
      </c>
      <c r="E30" s="33">
        <f>IFERROR(__xludf.DUMMYFUNCTION("GOOGLEFINANCE(B30,""PRICE"")"),53.17)</f>
        <v>53.17</v>
      </c>
      <c r="F30" s="29">
        <f t="shared" ref="F30:G30" si="30">C30*D30</f>
        <v>2492.610766</v>
      </c>
      <c r="G30" s="20">
        <f t="shared" si="30"/>
        <v>2440.738756</v>
      </c>
      <c r="H30" s="30">
        <f>IFERROR(__xludf.DUMMYFUNCTION("GOOGLEFINANCE(B30,""changepct"")"),-1.15)</f>
        <v>-1.15</v>
      </c>
      <c r="I30" s="27">
        <f>(E30-C30)/C30</f>
        <v>-0.02081031308</v>
      </c>
      <c r="J30" s="27">
        <f>G30/G$31</f>
        <v>0.06800702229</v>
      </c>
    </row>
    <row r="31">
      <c r="E31" s="35"/>
      <c r="F31" s="20">
        <f t="shared" ref="F31:G31" si="31">SUM(F18:F30)</f>
        <v>34594.841</v>
      </c>
      <c r="G31" s="20">
        <f t="shared" si="31"/>
        <v>35889.51072</v>
      </c>
      <c r="H31" s="30"/>
      <c r="I31" s="20">
        <f>G31-F31</f>
        <v>1294.669725</v>
      </c>
      <c r="J31" s="27"/>
    </row>
    <row r="32">
      <c r="A32" s="37" t="s">
        <v>78</v>
      </c>
      <c r="B32" s="37" t="s">
        <v>79</v>
      </c>
      <c r="C32" s="37" t="s">
        <v>80</v>
      </c>
      <c r="D32" s="37" t="s">
        <v>81</v>
      </c>
      <c r="E32" s="38" t="s">
        <v>2</v>
      </c>
      <c r="F32" s="37" t="s">
        <v>82</v>
      </c>
      <c r="G32" s="37" t="s">
        <v>30</v>
      </c>
      <c r="H32" s="37" t="s">
        <v>83</v>
      </c>
      <c r="I32" s="37" t="s">
        <v>84</v>
      </c>
      <c r="J32" s="37" t="s">
        <v>3</v>
      </c>
    </row>
    <row r="33">
      <c r="E33" s="36"/>
      <c r="H33" s="30"/>
      <c r="I33" s="27"/>
      <c r="J33" s="27"/>
    </row>
    <row r="34">
      <c r="E34" s="36"/>
      <c r="H34" s="30"/>
      <c r="I34" s="27"/>
      <c r="J34" s="27"/>
      <c r="L34" s="8" t="s">
        <v>140</v>
      </c>
      <c r="M34" s="27">
        <f>J35+J34</f>
        <v>0</v>
      </c>
    </row>
    <row r="35">
      <c r="E35" s="36"/>
      <c r="H35" s="30"/>
      <c r="I35" s="27"/>
      <c r="J35" s="27"/>
      <c r="L35" s="8" t="s">
        <v>141</v>
      </c>
      <c r="M35" s="27">
        <f>J36+J33+J37</f>
        <v>0</v>
      </c>
    </row>
    <row r="36">
      <c r="A36" s="34"/>
      <c r="E36" s="36"/>
      <c r="H36" s="30"/>
      <c r="I36" s="27"/>
      <c r="J36" s="27"/>
      <c r="L36" s="8" t="s">
        <v>142</v>
      </c>
      <c r="M36" s="27">
        <f>J41+J40</f>
        <v>0.03688509962</v>
      </c>
    </row>
    <row r="37">
      <c r="E37" s="33"/>
      <c r="F37" s="29"/>
      <c r="H37" s="30"/>
      <c r="I37" s="27"/>
      <c r="J37" s="27"/>
      <c r="L37" s="8" t="s">
        <v>105</v>
      </c>
      <c r="M37" s="27">
        <f>J38</f>
        <v>0.3805772128</v>
      </c>
    </row>
    <row r="38">
      <c r="A38" s="8" t="s">
        <v>128</v>
      </c>
      <c r="B38" s="8" t="s">
        <v>128</v>
      </c>
      <c r="C38" s="8">
        <f>((C27*D27)+(C6*D6))/D38</f>
        <v>429.5566115</v>
      </c>
      <c r="D38" s="8">
        <f>D27+D6</f>
        <v>25.08772347</v>
      </c>
      <c r="E38" s="33">
        <f>IFERROR(__xludf.DUMMYFUNCTION("GOOGLEFINANCE(B38,""PRICE"")"),433.77)</f>
        <v>433.77</v>
      </c>
      <c r="F38" s="29">
        <f t="shared" ref="F38:G38" si="32">C38*D38</f>
        <v>10776.59748</v>
      </c>
      <c r="G38" s="20">
        <f t="shared" si="32"/>
        <v>10882.30181</v>
      </c>
      <c r="H38" s="30">
        <f>IFERROR(__xludf.DUMMYFUNCTION("GOOGLEFINANCE(B38,""changepct"")"),0.48)</f>
        <v>0.48</v>
      </c>
      <c r="I38" s="27">
        <f>(E38-C38)/C38</f>
        <v>0.009808691945</v>
      </c>
      <c r="J38" s="27">
        <f>G38/G$50</f>
        <v>0.3805772128</v>
      </c>
      <c r="L38" s="8" t="s">
        <v>143</v>
      </c>
      <c r="M38" s="27" t="str">
        <f>J42</f>
        <v/>
      </c>
    </row>
    <row r="39">
      <c r="E39" s="33"/>
      <c r="F39" s="29"/>
      <c r="H39" s="30"/>
      <c r="I39" s="27"/>
      <c r="J39" s="27"/>
      <c r="L39" s="8" t="s">
        <v>144</v>
      </c>
      <c r="M39" s="27" t="str">
        <f>J39</f>
        <v/>
      </c>
    </row>
    <row r="40">
      <c r="E40" s="33"/>
      <c r="F40" s="29"/>
      <c r="H40" s="30"/>
      <c r="I40" s="27"/>
      <c r="J40" s="27"/>
      <c r="L40" s="8" t="s">
        <v>145</v>
      </c>
      <c r="M40" s="27">
        <f>J43</f>
        <v>0.03274824702</v>
      </c>
    </row>
    <row r="41">
      <c r="A41" s="8" t="s">
        <v>131</v>
      </c>
      <c r="B41" s="8" t="s">
        <v>132</v>
      </c>
      <c r="C41" s="8">
        <v>45.0</v>
      </c>
      <c r="D41" s="8">
        <v>10.0</v>
      </c>
      <c r="E41" s="33">
        <f>IFERROR(__xludf.DUMMYFUNCTION("GOOGLEFINANCE(B41,""PRICE"")"),105.47)</f>
        <v>105.47</v>
      </c>
      <c r="F41" s="29">
        <f t="shared" ref="F41:G41" si="33">C41*D41</f>
        <v>450</v>
      </c>
      <c r="G41" s="20">
        <f t="shared" si="33"/>
        <v>1054.7</v>
      </c>
      <c r="H41" s="30">
        <f>IFERROR(__xludf.DUMMYFUNCTION("GOOGLEFINANCE(B41,""changepct"")"),34.22)</f>
        <v>34.22</v>
      </c>
      <c r="I41" s="27">
        <f>(E41-C41)/C41</f>
        <v>1.343777778</v>
      </c>
      <c r="J41" s="27">
        <f>G41/G$50</f>
        <v>0.03688509962</v>
      </c>
      <c r="L41" s="8" t="s">
        <v>146</v>
      </c>
      <c r="M41" s="27">
        <f>J44+J46</f>
        <v>0.3578214254</v>
      </c>
    </row>
    <row r="42">
      <c r="E42" s="33"/>
      <c r="F42" s="29"/>
      <c r="H42" s="30"/>
      <c r="I42" s="27"/>
      <c r="J42" s="27"/>
      <c r="L42" s="8" t="s">
        <v>147</v>
      </c>
      <c r="M42" s="27">
        <f>J45</f>
        <v>0.0324306752</v>
      </c>
    </row>
    <row r="43">
      <c r="A43" s="8" t="s">
        <v>139</v>
      </c>
      <c r="B43" s="8" t="s">
        <v>139</v>
      </c>
      <c r="C43" s="20">
        <f t="shared" ref="C43:D43" si="34">C25</f>
        <v>34.94</v>
      </c>
      <c r="D43" s="20">
        <f t="shared" si="34"/>
        <v>29</v>
      </c>
      <c r="E43" s="33">
        <f>IFERROR(__xludf.DUMMYFUNCTION("GOOGLEFINANCE(B43,""PRICE"")"),32.29)</f>
        <v>32.29</v>
      </c>
      <c r="F43" s="29">
        <f t="shared" ref="F43:G43" si="35">C43*D43</f>
        <v>1013.26</v>
      </c>
      <c r="G43" s="20">
        <f t="shared" si="35"/>
        <v>936.41</v>
      </c>
      <c r="H43" s="30">
        <f>IFERROR(__xludf.DUMMYFUNCTION("GOOGLEFINANCE(B43,""changepct"")"),0.4)</f>
        <v>0.4</v>
      </c>
      <c r="I43" s="27">
        <f t="shared" ref="I43:I48" si="37">(E43-C43)/C43</f>
        <v>-0.07584430452</v>
      </c>
      <c r="J43" s="27">
        <f t="shared" ref="J43:J48" si="38">G43/G$50</f>
        <v>0.03274824702</v>
      </c>
    </row>
    <row r="44">
      <c r="A44" s="8" t="s">
        <v>134</v>
      </c>
      <c r="B44" s="8" t="s">
        <v>134</v>
      </c>
      <c r="C44" s="20">
        <f>((C26*D26)+(C11*D11))/D44</f>
        <v>175.3110929</v>
      </c>
      <c r="D44" s="20">
        <f>D26+D11</f>
        <v>29.57422596</v>
      </c>
      <c r="E44" s="33">
        <f>IFERROR(__xludf.DUMMYFUNCTION("GOOGLEFINANCE(B44,""PRICE"")"),197.22)</f>
        <v>197.22</v>
      </c>
      <c r="F44" s="29">
        <f t="shared" ref="F44:G44" si="36">C44*D44</f>
        <v>5184.689875</v>
      </c>
      <c r="G44" s="20">
        <f t="shared" si="36"/>
        <v>5832.628844</v>
      </c>
      <c r="H44" s="30">
        <f>IFERROR(__xludf.DUMMYFUNCTION("GOOGLEFINANCE(B44,""changepct"")"),2.26)</f>
        <v>2.26</v>
      </c>
      <c r="I44" s="27">
        <f t="shared" si="37"/>
        <v>0.1249715961</v>
      </c>
      <c r="J44" s="27">
        <f t="shared" si="38"/>
        <v>0.2039794216</v>
      </c>
      <c r="K44" s="39">
        <f>IFERROR(__xludf.DUMMYFUNCTION("GOOGLEFINANCE(""CURRENCY:USDINR"")"),94.42550000000001)</f>
        <v>94.4255</v>
      </c>
    </row>
    <row r="45">
      <c r="A45" s="8" t="s">
        <v>130</v>
      </c>
      <c r="B45" s="8" t="s">
        <v>130</v>
      </c>
      <c r="C45" s="8">
        <v>78.5</v>
      </c>
      <c r="D45" s="8">
        <v>12.701401</v>
      </c>
      <c r="E45" s="33">
        <f>IFERROR(__xludf.DUMMYFUNCTION("GOOGLEFINANCE(B45,""PRICE"")"),73.01)</f>
        <v>73.01</v>
      </c>
      <c r="F45" s="29">
        <f t="shared" ref="F45:G45" si="39">C45*D45</f>
        <v>997.0599785</v>
      </c>
      <c r="G45" s="20">
        <f t="shared" si="39"/>
        <v>927.329287</v>
      </c>
      <c r="H45" s="30">
        <f>IFERROR(__xludf.DUMMYFUNCTION("GOOGLEFINANCE(B45,""changepct"")"),1.97)</f>
        <v>1.97</v>
      </c>
      <c r="I45" s="27">
        <f t="shared" si="37"/>
        <v>-0.06993630573</v>
      </c>
      <c r="J45" s="27">
        <f t="shared" si="38"/>
        <v>0.0324306752</v>
      </c>
      <c r="L45" s="20">
        <f>K44*(M3+M19)</f>
        <v>320574.5725</v>
      </c>
    </row>
    <row r="46">
      <c r="A46" s="8" t="s">
        <v>135</v>
      </c>
      <c r="B46" s="8" t="s">
        <v>135</v>
      </c>
      <c r="C46" s="20">
        <f>((C30*D30)+(C12*D12))/D46</f>
        <v>54.22877453</v>
      </c>
      <c r="D46" s="20">
        <f>D12+D30</f>
        <v>82.734425</v>
      </c>
      <c r="E46" s="33">
        <f>IFERROR(__xludf.DUMMYFUNCTION("GOOGLEFINANCE(B46,""PRICE"")"),53.17)</f>
        <v>53.17</v>
      </c>
      <c r="F46" s="29">
        <f t="shared" ref="F46:G46" si="40">C46*D46</f>
        <v>4486.586479</v>
      </c>
      <c r="G46" s="20">
        <f t="shared" si="40"/>
        <v>4398.989377</v>
      </c>
      <c r="H46" s="30">
        <f>IFERROR(__xludf.DUMMYFUNCTION("GOOGLEFINANCE(B46,""changepct"")"),-1.15)</f>
        <v>-1.15</v>
      </c>
      <c r="I46" s="27">
        <f t="shared" si="37"/>
        <v>-0.01952422005</v>
      </c>
      <c r="J46" s="27">
        <f t="shared" si="38"/>
        <v>0.1538420038</v>
      </c>
    </row>
    <row r="47">
      <c r="A47" s="8" t="s">
        <v>136</v>
      </c>
      <c r="B47" s="8" t="s">
        <v>136</v>
      </c>
      <c r="C47" s="20">
        <f t="shared" ref="C47:D47" si="41">C13</f>
        <v>138.49</v>
      </c>
      <c r="D47" s="20">
        <f t="shared" si="41"/>
        <v>32.397152</v>
      </c>
      <c r="E47" s="33">
        <f>IFERROR(__xludf.DUMMYFUNCTION("GOOGLEFINANCE(B47,""PRICE"")"),140.81)</f>
        <v>140.81</v>
      </c>
      <c r="F47" s="29">
        <f t="shared" ref="F47:G47" si="42">C47*D47</f>
        <v>4486.68158</v>
      </c>
      <c r="G47" s="20">
        <f t="shared" si="42"/>
        <v>4561.842973</v>
      </c>
      <c r="H47" s="30">
        <f>IFERROR(__xludf.DUMMYFUNCTION("GOOGLEFINANCE(B47,""changepct"")"),-1.09)</f>
        <v>-1.09</v>
      </c>
      <c r="I47" s="27">
        <f t="shared" si="37"/>
        <v>0.01675211207</v>
      </c>
      <c r="J47" s="27">
        <f t="shared" si="38"/>
        <v>0.15953734</v>
      </c>
    </row>
    <row r="48">
      <c r="A48" s="8" t="s">
        <v>148</v>
      </c>
      <c r="B48" s="8" t="s">
        <v>148</v>
      </c>
      <c r="C48" s="20" t="str">
        <f t="shared" ref="C48:D48" si="43">C29</f>
        <v/>
      </c>
      <c r="D48" s="20" t="str">
        <f t="shared" si="43"/>
        <v/>
      </c>
      <c r="E48" s="33">
        <f>IFERROR(__xludf.DUMMYFUNCTION("GOOGLEFINANCE(B48,""PRICE"")"),29.45)</f>
        <v>29.45</v>
      </c>
      <c r="F48" s="29">
        <f t="shared" ref="F48:G48" si="44">C48*D48</f>
        <v>0</v>
      </c>
      <c r="G48" s="20">
        <f t="shared" si="44"/>
        <v>0</v>
      </c>
      <c r="H48" s="30">
        <f>IFERROR(__xludf.DUMMYFUNCTION("GOOGLEFINANCE(B48,""changepct"")"),-2.17)</f>
        <v>-2.17</v>
      </c>
      <c r="I48" s="27" t="str">
        <f t="shared" si="37"/>
        <v>#DIV/0!</v>
      </c>
      <c r="J48" s="27">
        <f t="shared" si="38"/>
        <v>0</v>
      </c>
    </row>
    <row r="50">
      <c r="E50" s="35"/>
      <c r="F50" s="20">
        <f t="shared" ref="F50:G50" si="45">SUM(F33:F48)</f>
        <v>27394.8754</v>
      </c>
      <c r="G50" s="20">
        <f t="shared" si="45"/>
        <v>28594.20229</v>
      </c>
      <c r="I50" s="20">
        <f>G50-F50</f>
        <v>1199.326893</v>
      </c>
      <c r="J50" s="40">
        <f>I50/F50</f>
        <v>0.0437792425</v>
      </c>
    </row>
    <row r="51">
      <c r="E51" s="41" t="s">
        <v>149</v>
      </c>
      <c r="F51" s="20">
        <f>F50*K44</f>
        <v>2586774.807</v>
      </c>
      <c r="G51" s="20">
        <f>G50*K44</f>
        <v>2700021.848</v>
      </c>
    </row>
    <row r="52">
      <c r="E52" s="35"/>
      <c r="K52" s="42">
        <f>I50*K44</f>
        <v>113247.0416</v>
      </c>
    </row>
    <row r="53">
      <c r="E53" s="32" t="s">
        <v>150</v>
      </c>
      <c r="G53" s="20">
        <f>(M34+M35+M37)*G51</f>
        <v>1027566.79</v>
      </c>
      <c r="H53" s="43" t="s">
        <v>105</v>
      </c>
      <c r="I53" s="44">
        <f>M37*G51</f>
        <v>1027566.79</v>
      </c>
      <c r="K53" s="20">
        <f>F50*K44</f>
        <v>2586774.807</v>
      </c>
    </row>
    <row r="54">
      <c r="E54" s="35"/>
      <c r="H54" s="43" t="s">
        <v>151</v>
      </c>
      <c r="I54" s="44">
        <f>M34*G51</f>
        <v>0</v>
      </c>
    </row>
    <row r="55">
      <c r="E55" s="35"/>
      <c r="H55" s="43" t="s">
        <v>152</v>
      </c>
      <c r="I55" s="44">
        <f>M35*G51</f>
        <v>0</v>
      </c>
    </row>
    <row r="56">
      <c r="E56" s="35"/>
      <c r="H56" s="43" t="s">
        <v>147</v>
      </c>
      <c r="I56" s="43">
        <f>M42*G51</f>
        <v>87563.53159</v>
      </c>
    </row>
    <row r="57">
      <c r="E57" s="35"/>
    </row>
    <row r="58">
      <c r="E58" s="32" t="s">
        <v>124</v>
      </c>
      <c r="F58" s="8">
        <f>26945*K44</f>
        <v>2544295.098</v>
      </c>
      <c r="G58" s="8" t="s">
        <v>153</v>
      </c>
    </row>
    <row r="59">
      <c r="E59" s="35"/>
      <c r="F59" s="8">
        <f>21270*K44</f>
        <v>2008430.385</v>
      </c>
      <c r="G59" s="8" t="s">
        <v>154</v>
      </c>
    </row>
    <row r="60">
      <c r="E60" s="35"/>
    </row>
    <row r="61">
      <c r="E61" s="35"/>
    </row>
    <row r="62">
      <c r="E62" s="35"/>
    </row>
    <row r="63">
      <c r="A63" s="8" t="s">
        <v>155</v>
      </c>
      <c r="E63" s="35"/>
    </row>
    <row r="64">
      <c r="A64" s="8" t="s">
        <v>156</v>
      </c>
      <c r="E64" s="35"/>
    </row>
    <row r="65">
      <c r="E65" s="35"/>
    </row>
    <row r="66">
      <c r="E66" s="35"/>
    </row>
    <row r="67">
      <c r="E67" s="35"/>
    </row>
    <row r="68">
      <c r="E68" s="35"/>
    </row>
    <row r="69">
      <c r="E69" s="35"/>
    </row>
    <row r="70">
      <c r="E70" s="35"/>
    </row>
    <row r="71">
      <c r="E71" s="35"/>
    </row>
    <row r="72">
      <c r="E72" s="35"/>
    </row>
    <row r="73">
      <c r="E73" s="35"/>
    </row>
    <row r="74">
      <c r="E74" s="35"/>
    </row>
    <row r="75">
      <c r="E75" s="35"/>
    </row>
    <row r="76">
      <c r="E76" s="35"/>
    </row>
    <row r="77">
      <c r="E77" s="35"/>
    </row>
    <row r="78">
      <c r="E78" s="35"/>
    </row>
    <row r="79">
      <c r="E79" s="35"/>
    </row>
    <row r="80">
      <c r="E80" s="35"/>
    </row>
    <row r="81">
      <c r="E81" s="35"/>
    </row>
    <row r="82">
      <c r="E82" s="35"/>
    </row>
    <row r="83">
      <c r="E83" s="35"/>
    </row>
    <row r="84">
      <c r="E84" s="35"/>
    </row>
    <row r="85">
      <c r="E85" s="35"/>
    </row>
    <row r="86">
      <c r="E86" s="35"/>
    </row>
    <row r="87">
      <c r="E87" s="35"/>
    </row>
    <row r="88">
      <c r="E88" s="35"/>
    </row>
    <row r="89">
      <c r="E89" s="35"/>
    </row>
    <row r="90">
      <c r="E90" s="35"/>
    </row>
    <row r="91">
      <c r="E91" s="35"/>
    </row>
    <row r="92">
      <c r="E92" s="35"/>
    </row>
    <row r="93">
      <c r="E93" s="35"/>
    </row>
    <row r="94">
      <c r="E94" s="35"/>
    </row>
    <row r="95">
      <c r="E95" s="35"/>
    </row>
    <row r="96">
      <c r="E96" s="35"/>
    </row>
    <row r="97">
      <c r="E97" s="35"/>
    </row>
    <row r="98">
      <c r="E98" s="35"/>
    </row>
    <row r="99">
      <c r="E99" s="35"/>
    </row>
    <row r="100">
      <c r="E100" s="35"/>
    </row>
    <row r="101">
      <c r="E101" s="35"/>
    </row>
    <row r="102">
      <c r="E102" s="35"/>
    </row>
    <row r="103">
      <c r="E103" s="35"/>
    </row>
    <row r="104">
      <c r="E104" s="35"/>
    </row>
    <row r="105">
      <c r="E105" s="35"/>
    </row>
    <row r="106">
      <c r="E106" s="35"/>
    </row>
    <row r="107">
      <c r="E107" s="35"/>
    </row>
    <row r="108">
      <c r="E108" s="35"/>
    </row>
    <row r="109">
      <c r="E109" s="35"/>
    </row>
    <row r="110">
      <c r="E110" s="35"/>
    </row>
    <row r="111">
      <c r="E111" s="35"/>
    </row>
    <row r="112">
      <c r="E112" s="35"/>
    </row>
    <row r="113">
      <c r="E113" s="35"/>
    </row>
    <row r="114">
      <c r="E114" s="35"/>
    </row>
    <row r="115">
      <c r="E115" s="35"/>
    </row>
    <row r="116">
      <c r="E116" s="35"/>
    </row>
    <row r="117">
      <c r="E117" s="35"/>
    </row>
    <row r="118">
      <c r="E118" s="35"/>
    </row>
    <row r="119">
      <c r="E119" s="35"/>
    </row>
    <row r="120">
      <c r="E120" s="35"/>
    </row>
    <row r="121">
      <c r="E121" s="35"/>
    </row>
    <row r="122">
      <c r="E122" s="35"/>
    </row>
    <row r="123">
      <c r="E123" s="35"/>
    </row>
    <row r="124">
      <c r="E124" s="35"/>
    </row>
    <row r="125">
      <c r="E125" s="35"/>
    </row>
    <row r="126">
      <c r="E126" s="35"/>
    </row>
    <row r="127">
      <c r="E127" s="35"/>
    </row>
    <row r="128">
      <c r="E128" s="35"/>
    </row>
    <row r="129">
      <c r="E129" s="35"/>
    </row>
    <row r="130">
      <c r="E130" s="35"/>
    </row>
    <row r="131">
      <c r="E131" s="35"/>
    </row>
    <row r="132">
      <c r="E132" s="35"/>
    </row>
    <row r="133">
      <c r="E133" s="35"/>
    </row>
    <row r="134">
      <c r="E134" s="35"/>
    </row>
    <row r="135">
      <c r="E135" s="35"/>
    </row>
    <row r="136">
      <c r="E136" s="35"/>
    </row>
    <row r="137">
      <c r="E137" s="35"/>
    </row>
    <row r="138">
      <c r="E138" s="35"/>
    </row>
    <row r="139">
      <c r="E139" s="35"/>
    </row>
    <row r="140">
      <c r="E140" s="35"/>
    </row>
    <row r="141">
      <c r="E141" s="35"/>
    </row>
    <row r="142">
      <c r="E142" s="35"/>
    </row>
    <row r="143">
      <c r="E143" s="35"/>
    </row>
    <row r="144">
      <c r="E144" s="35"/>
    </row>
    <row r="145">
      <c r="E145" s="35"/>
    </row>
    <row r="146">
      <c r="E146" s="35"/>
    </row>
    <row r="147">
      <c r="E147" s="35"/>
    </row>
    <row r="148">
      <c r="E148" s="35"/>
    </row>
    <row r="149">
      <c r="E149" s="35"/>
    </row>
    <row r="150">
      <c r="E150" s="35"/>
    </row>
    <row r="151">
      <c r="E151" s="35"/>
    </row>
    <row r="152">
      <c r="E152" s="35"/>
    </row>
    <row r="153">
      <c r="E153" s="35"/>
    </row>
    <row r="154">
      <c r="E154" s="35"/>
    </row>
    <row r="155">
      <c r="E155" s="35"/>
    </row>
    <row r="156">
      <c r="E156" s="35"/>
    </row>
    <row r="157">
      <c r="E157" s="35"/>
    </row>
    <row r="158">
      <c r="E158" s="35"/>
    </row>
    <row r="159">
      <c r="E159" s="35"/>
    </row>
    <row r="160">
      <c r="E160" s="35"/>
    </row>
    <row r="161">
      <c r="E161" s="35"/>
    </row>
    <row r="162">
      <c r="E162" s="35"/>
    </row>
    <row r="163">
      <c r="E163" s="35"/>
    </row>
    <row r="164">
      <c r="E164" s="35"/>
    </row>
    <row r="165">
      <c r="E165" s="35"/>
    </row>
    <row r="166">
      <c r="E166" s="35"/>
    </row>
    <row r="167">
      <c r="E167" s="35"/>
    </row>
    <row r="168">
      <c r="E168" s="35"/>
    </row>
    <row r="169">
      <c r="E169" s="35"/>
    </row>
    <row r="170">
      <c r="E170" s="35"/>
    </row>
    <row r="171">
      <c r="E171" s="35"/>
    </row>
    <row r="172">
      <c r="E172" s="35"/>
    </row>
    <row r="173">
      <c r="E173" s="35"/>
    </row>
    <row r="174">
      <c r="E174" s="35"/>
    </row>
    <row r="175">
      <c r="E175" s="35"/>
    </row>
    <row r="176">
      <c r="E176" s="35"/>
    </row>
    <row r="177">
      <c r="E177" s="35"/>
    </row>
    <row r="178">
      <c r="E178" s="35"/>
    </row>
    <row r="179">
      <c r="E179" s="35"/>
    </row>
    <row r="180">
      <c r="E180" s="35"/>
    </row>
    <row r="181">
      <c r="E181" s="35"/>
    </row>
    <row r="182">
      <c r="E182" s="35"/>
    </row>
    <row r="183">
      <c r="E183" s="35"/>
    </row>
    <row r="184">
      <c r="E184" s="35"/>
    </row>
    <row r="185">
      <c r="E185" s="35"/>
    </row>
    <row r="186">
      <c r="E186" s="35"/>
    </row>
    <row r="187">
      <c r="E187" s="35"/>
    </row>
    <row r="188">
      <c r="E188" s="35"/>
    </row>
    <row r="189">
      <c r="E189" s="35"/>
    </row>
    <row r="190">
      <c r="E190" s="35"/>
    </row>
    <row r="191">
      <c r="E191" s="35"/>
    </row>
    <row r="192">
      <c r="E192" s="35"/>
    </row>
    <row r="193">
      <c r="E193" s="35"/>
    </row>
    <row r="194">
      <c r="E194" s="35"/>
    </row>
    <row r="195">
      <c r="E195" s="35"/>
    </row>
    <row r="196">
      <c r="E196" s="35"/>
    </row>
    <row r="197">
      <c r="E197" s="35"/>
    </row>
    <row r="198">
      <c r="E198" s="35"/>
    </row>
    <row r="199">
      <c r="E199" s="35"/>
    </row>
    <row r="200">
      <c r="E200" s="35"/>
    </row>
    <row r="201">
      <c r="E201" s="35"/>
    </row>
    <row r="202">
      <c r="E202" s="35"/>
    </row>
    <row r="203">
      <c r="E203" s="35"/>
    </row>
    <row r="204">
      <c r="E204" s="35"/>
    </row>
    <row r="205">
      <c r="E205" s="35"/>
    </row>
    <row r="206">
      <c r="E206" s="35"/>
    </row>
    <row r="207">
      <c r="E207" s="35"/>
    </row>
    <row r="208">
      <c r="E208" s="35"/>
    </row>
    <row r="209">
      <c r="E209" s="35"/>
    </row>
    <row r="210">
      <c r="E210" s="35"/>
    </row>
    <row r="211">
      <c r="E211" s="35"/>
    </row>
    <row r="212">
      <c r="E212" s="35"/>
    </row>
    <row r="213">
      <c r="E213" s="35"/>
    </row>
    <row r="214">
      <c r="E214" s="35"/>
    </row>
    <row r="215">
      <c r="E215" s="35"/>
    </row>
    <row r="216">
      <c r="E216" s="35"/>
    </row>
    <row r="217">
      <c r="E217" s="35"/>
    </row>
    <row r="218">
      <c r="E218" s="35"/>
    </row>
    <row r="219">
      <c r="E219" s="35"/>
    </row>
    <row r="220">
      <c r="E220" s="35"/>
    </row>
    <row r="221">
      <c r="E221" s="35"/>
    </row>
    <row r="222">
      <c r="E222" s="35"/>
    </row>
    <row r="223">
      <c r="E223" s="35"/>
    </row>
    <row r="224">
      <c r="E224" s="35"/>
    </row>
    <row r="225">
      <c r="E225" s="35"/>
    </row>
    <row r="226">
      <c r="E226" s="35"/>
    </row>
    <row r="227">
      <c r="E227" s="35"/>
    </row>
    <row r="228">
      <c r="E228" s="35"/>
    </row>
    <row r="229">
      <c r="E229" s="35"/>
    </row>
    <row r="230">
      <c r="E230" s="35"/>
    </row>
    <row r="231">
      <c r="E231" s="35"/>
    </row>
    <row r="232">
      <c r="E232" s="35"/>
    </row>
    <row r="233">
      <c r="E233" s="35"/>
    </row>
    <row r="234">
      <c r="E234" s="35"/>
    </row>
    <row r="235">
      <c r="E235" s="35"/>
    </row>
    <row r="236">
      <c r="E236" s="35"/>
    </row>
    <row r="237">
      <c r="E237" s="35"/>
    </row>
    <row r="238">
      <c r="E238" s="35"/>
    </row>
    <row r="239">
      <c r="E239" s="35"/>
    </row>
    <row r="240">
      <c r="E240" s="35"/>
    </row>
    <row r="241">
      <c r="E241" s="35"/>
    </row>
    <row r="242">
      <c r="E242" s="35"/>
    </row>
    <row r="243">
      <c r="E243" s="35"/>
    </row>
    <row r="244">
      <c r="E244" s="35"/>
    </row>
    <row r="245">
      <c r="E245" s="35"/>
    </row>
    <row r="246">
      <c r="E246" s="35"/>
    </row>
    <row r="247">
      <c r="E247" s="35"/>
    </row>
    <row r="248">
      <c r="E248" s="35"/>
    </row>
    <row r="249">
      <c r="E249" s="35"/>
    </row>
    <row r="250">
      <c r="E250" s="35"/>
    </row>
    <row r="251">
      <c r="E251" s="35"/>
    </row>
    <row r="252">
      <c r="E252" s="35"/>
    </row>
    <row r="253">
      <c r="E253" s="35"/>
    </row>
    <row r="254">
      <c r="E254" s="35"/>
    </row>
    <row r="255">
      <c r="E255" s="35"/>
    </row>
    <row r="256">
      <c r="E256" s="35"/>
    </row>
    <row r="257">
      <c r="E257" s="35"/>
    </row>
    <row r="258">
      <c r="E258" s="35"/>
    </row>
    <row r="259">
      <c r="E259" s="35"/>
    </row>
    <row r="260">
      <c r="E260" s="35"/>
    </row>
    <row r="261">
      <c r="E261" s="35"/>
    </row>
    <row r="262">
      <c r="E262" s="35"/>
    </row>
    <row r="263">
      <c r="E263" s="35"/>
    </row>
    <row r="264">
      <c r="E264" s="35"/>
    </row>
    <row r="265">
      <c r="E265" s="35"/>
    </row>
    <row r="266">
      <c r="E266" s="35"/>
    </row>
    <row r="267">
      <c r="E267" s="35"/>
    </row>
    <row r="268">
      <c r="E268" s="35"/>
    </row>
    <row r="269">
      <c r="E269" s="35"/>
    </row>
    <row r="270">
      <c r="E270" s="35"/>
    </row>
    <row r="271">
      <c r="E271" s="35"/>
    </row>
    <row r="272">
      <c r="E272" s="35"/>
    </row>
    <row r="273">
      <c r="E273" s="35"/>
    </row>
    <row r="274">
      <c r="E274" s="35"/>
    </row>
    <row r="275">
      <c r="E275" s="35"/>
    </row>
    <row r="276">
      <c r="E276" s="35"/>
    </row>
    <row r="277">
      <c r="E277" s="35"/>
    </row>
    <row r="278">
      <c r="E278" s="35"/>
    </row>
    <row r="279">
      <c r="E279" s="35"/>
    </row>
    <row r="280">
      <c r="E280" s="35"/>
    </row>
    <row r="281">
      <c r="E281" s="35"/>
    </row>
    <row r="282">
      <c r="E282" s="35"/>
    </row>
    <row r="283">
      <c r="E283" s="35"/>
    </row>
    <row r="284">
      <c r="E284" s="35"/>
    </row>
    <row r="285">
      <c r="E285" s="35"/>
    </row>
    <row r="286">
      <c r="E286" s="35"/>
    </row>
    <row r="287">
      <c r="E287" s="35"/>
    </row>
    <row r="288">
      <c r="E288" s="35"/>
    </row>
    <row r="289">
      <c r="E289" s="35"/>
    </row>
    <row r="290">
      <c r="E290" s="35"/>
    </row>
    <row r="291">
      <c r="E291" s="35"/>
    </row>
    <row r="292">
      <c r="E292" s="35"/>
    </row>
    <row r="293">
      <c r="E293" s="35"/>
    </row>
    <row r="294">
      <c r="E294" s="35"/>
    </row>
    <row r="295">
      <c r="E295" s="35"/>
    </row>
    <row r="296">
      <c r="E296" s="35"/>
    </row>
    <row r="297">
      <c r="E297" s="35"/>
    </row>
    <row r="298">
      <c r="E298" s="35"/>
    </row>
    <row r="299">
      <c r="E299" s="35"/>
    </row>
    <row r="300">
      <c r="E300" s="35"/>
    </row>
    <row r="301">
      <c r="E301" s="35"/>
    </row>
    <row r="302">
      <c r="E302" s="35"/>
    </row>
    <row r="303">
      <c r="E303" s="35"/>
    </row>
    <row r="304">
      <c r="E304" s="35"/>
    </row>
    <row r="305">
      <c r="E305" s="35"/>
    </row>
    <row r="306">
      <c r="E306" s="35"/>
    </row>
    <row r="307">
      <c r="E307" s="35"/>
    </row>
    <row r="308">
      <c r="E308" s="35"/>
    </row>
    <row r="309">
      <c r="E309" s="35"/>
    </row>
    <row r="310">
      <c r="E310" s="35"/>
    </row>
    <row r="311">
      <c r="E311" s="35"/>
    </row>
    <row r="312">
      <c r="E312" s="35"/>
    </row>
    <row r="313">
      <c r="E313" s="35"/>
    </row>
    <row r="314">
      <c r="E314" s="35"/>
    </row>
    <row r="315">
      <c r="E315" s="35"/>
    </row>
    <row r="316">
      <c r="E316" s="35"/>
    </row>
    <row r="317">
      <c r="E317" s="35"/>
    </row>
    <row r="318">
      <c r="E318" s="35"/>
    </row>
    <row r="319">
      <c r="E319" s="35"/>
    </row>
    <row r="320">
      <c r="E320" s="35"/>
    </row>
    <row r="321">
      <c r="E321" s="35"/>
    </row>
    <row r="322">
      <c r="E322" s="35"/>
    </row>
    <row r="323">
      <c r="E323" s="35"/>
    </row>
    <row r="324">
      <c r="E324" s="35"/>
    </row>
    <row r="325">
      <c r="E325" s="35"/>
    </row>
    <row r="326">
      <c r="E326" s="35"/>
    </row>
    <row r="327">
      <c r="E327" s="35"/>
    </row>
    <row r="328">
      <c r="E328" s="35"/>
    </row>
    <row r="329">
      <c r="E329" s="35"/>
    </row>
    <row r="330">
      <c r="E330" s="35"/>
    </row>
    <row r="331">
      <c r="E331" s="35"/>
    </row>
    <row r="332">
      <c r="E332" s="35"/>
    </row>
    <row r="333">
      <c r="E333" s="35"/>
    </row>
    <row r="334">
      <c r="E334" s="35"/>
    </row>
    <row r="335">
      <c r="E335" s="35"/>
    </row>
    <row r="336">
      <c r="E336" s="35"/>
    </row>
    <row r="337">
      <c r="E337" s="35"/>
    </row>
    <row r="338">
      <c r="E338" s="35"/>
    </row>
    <row r="339">
      <c r="E339" s="35"/>
    </row>
    <row r="340">
      <c r="E340" s="35"/>
    </row>
    <row r="341">
      <c r="E341" s="35"/>
    </row>
    <row r="342">
      <c r="E342" s="35"/>
    </row>
    <row r="343">
      <c r="E343" s="35"/>
    </row>
    <row r="344">
      <c r="E344" s="35"/>
    </row>
    <row r="345">
      <c r="E345" s="35"/>
    </row>
    <row r="346">
      <c r="E346" s="35"/>
    </row>
    <row r="347">
      <c r="E347" s="35"/>
    </row>
    <row r="348">
      <c r="E348" s="35"/>
    </row>
    <row r="349">
      <c r="E349" s="35"/>
    </row>
    <row r="350">
      <c r="E350" s="35"/>
    </row>
    <row r="351">
      <c r="E351" s="35"/>
    </row>
    <row r="352">
      <c r="E352" s="35"/>
    </row>
    <row r="353">
      <c r="E353" s="35"/>
    </row>
    <row r="354">
      <c r="E354" s="35"/>
    </row>
    <row r="355">
      <c r="E355" s="35"/>
    </row>
    <row r="356">
      <c r="E356" s="35"/>
    </row>
    <row r="357">
      <c r="E357" s="35"/>
    </row>
    <row r="358">
      <c r="E358" s="35"/>
    </row>
    <row r="359">
      <c r="E359" s="35"/>
    </row>
    <row r="360">
      <c r="E360" s="35"/>
    </row>
    <row r="361">
      <c r="E361" s="35"/>
    </row>
    <row r="362">
      <c r="E362" s="35"/>
    </row>
    <row r="363">
      <c r="E363" s="35"/>
    </row>
    <row r="364">
      <c r="E364" s="35"/>
    </row>
    <row r="365">
      <c r="E365" s="35"/>
    </row>
    <row r="366">
      <c r="E366" s="35"/>
    </row>
    <row r="367">
      <c r="E367" s="35"/>
    </row>
    <row r="368">
      <c r="E368" s="35"/>
    </row>
    <row r="369">
      <c r="E369" s="35"/>
    </row>
    <row r="370">
      <c r="E370" s="35"/>
    </row>
    <row r="371">
      <c r="E371" s="35"/>
    </row>
    <row r="372">
      <c r="E372" s="35"/>
    </row>
    <row r="373">
      <c r="E373" s="35"/>
    </row>
    <row r="374">
      <c r="E374" s="35"/>
    </row>
    <row r="375">
      <c r="E375" s="35"/>
    </row>
    <row r="376">
      <c r="E376" s="35"/>
    </row>
    <row r="377">
      <c r="E377" s="35"/>
    </row>
    <row r="378">
      <c r="E378" s="35"/>
    </row>
    <row r="379">
      <c r="E379" s="35"/>
    </row>
    <row r="380">
      <c r="E380" s="35"/>
    </row>
    <row r="381">
      <c r="E381" s="35"/>
    </row>
    <row r="382">
      <c r="E382" s="35"/>
    </row>
    <row r="383">
      <c r="E383" s="35"/>
    </row>
    <row r="384">
      <c r="E384" s="35"/>
    </row>
    <row r="385">
      <c r="E385" s="35"/>
    </row>
    <row r="386">
      <c r="E386" s="35"/>
    </row>
    <row r="387">
      <c r="E387" s="35"/>
    </row>
    <row r="388">
      <c r="E388" s="35"/>
    </row>
    <row r="389">
      <c r="E389" s="35"/>
    </row>
    <row r="390">
      <c r="E390" s="35"/>
    </row>
    <row r="391">
      <c r="E391" s="35"/>
    </row>
    <row r="392">
      <c r="E392" s="35"/>
    </row>
    <row r="393">
      <c r="E393" s="35"/>
    </row>
    <row r="394">
      <c r="E394" s="35"/>
    </row>
    <row r="395">
      <c r="E395" s="35"/>
    </row>
    <row r="396">
      <c r="E396" s="35"/>
    </row>
    <row r="397">
      <c r="E397" s="35"/>
    </row>
    <row r="398">
      <c r="E398" s="35"/>
    </row>
    <row r="399">
      <c r="E399" s="35"/>
    </row>
    <row r="400">
      <c r="E400" s="35"/>
    </row>
    <row r="401">
      <c r="E401" s="35"/>
    </row>
    <row r="402">
      <c r="E402" s="35"/>
    </row>
    <row r="403">
      <c r="E403" s="35"/>
    </row>
    <row r="404">
      <c r="E404" s="35"/>
    </row>
    <row r="405">
      <c r="E405" s="35"/>
    </row>
    <row r="406">
      <c r="E406" s="35"/>
    </row>
    <row r="407">
      <c r="E407" s="35"/>
    </row>
    <row r="408">
      <c r="E408" s="35"/>
    </row>
    <row r="409">
      <c r="E409" s="35"/>
    </row>
    <row r="410">
      <c r="E410" s="35"/>
    </row>
    <row r="411">
      <c r="E411" s="35"/>
    </row>
    <row r="412">
      <c r="E412" s="35"/>
    </row>
    <row r="413">
      <c r="E413" s="35"/>
    </row>
    <row r="414">
      <c r="E414" s="35"/>
    </row>
    <row r="415">
      <c r="E415" s="35"/>
    </row>
    <row r="416">
      <c r="E416" s="35"/>
    </row>
    <row r="417">
      <c r="E417" s="35"/>
    </row>
    <row r="418">
      <c r="E418" s="35"/>
    </row>
    <row r="419">
      <c r="E419" s="35"/>
    </row>
    <row r="420">
      <c r="E420" s="35"/>
    </row>
    <row r="421">
      <c r="E421" s="35"/>
    </row>
    <row r="422">
      <c r="E422" s="35"/>
    </row>
    <row r="423">
      <c r="E423" s="35"/>
    </row>
    <row r="424">
      <c r="E424" s="35"/>
    </row>
    <row r="425">
      <c r="E425" s="35"/>
    </row>
    <row r="426">
      <c r="E426" s="35"/>
    </row>
    <row r="427">
      <c r="E427" s="35"/>
    </row>
    <row r="428">
      <c r="E428" s="35"/>
    </row>
    <row r="429">
      <c r="E429" s="35"/>
    </row>
    <row r="430">
      <c r="E430" s="35"/>
    </row>
    <row r="431">
      <c r="E431" s="35"/>
    </row>
    <row r="432">
      <c r="E432" s="35"/>
    </row>
    <row r="433">
      <c r="E433" s="35"/>
    </row>
    <row r="434">
      <c r="E434" s="35"/>
    </row>
    <row r="435">
      <c r="E435" s="35"/>
    </row>
    <row r="436">
      <c r="E436" s="35"/>
    </row>
    <row r="437">
      <c r="E437" s="35"/>
    </row>
    <row r="438">
      <c r="E438" s="35"/>
    </row>
    <row r="439">
      <c r="E439" s="35"/>
    </row>
    <row r="440">
      <c r="E440" s="35"/>
    </row>
    <row r="441">
      <c r="E441" s="35"/>
    </row>
    <row r="442">
      <c r="E442" s="35"/>
    </row>
    <row r="443">
      <c r="E443" s="35"/>
    </row>
    <row r="444">
      <c r="E444" s="35"/>
    </row>
    <row r="445">
      <c r="E445" s="35"/>
    </row>
    <row r="446">
      <c r="E446" s="35"/>
    </row>
    <row r="447">
      <c r="E447" s="35"/>
    </row>
    <row r="448">
      <c r="E448" s="35"/>
    </row>
    <row r="449">
      <c r="E449" s="35"/>
    </row>
    <row r="450">
      <c r="E450" s="35"/>
    </row>
    <row r="451">
      <c r="E451" s="35"/>
    </row>
    <row r="452">
      <c r="E452" s="35"/>
    </row>
    <row r="453">
      <c r="E453" s="35"/>
    </row>
    <row r="454">
      <c r="E454" s="35"/>
    </row>
    <row r="455">
      <c r="E455" s="35"/>
    </row>
    <row r="456">
      <c r="E456" s="35"/>
    </row>
    <row r="457">
      <c r="E457" s="35"/>
    </row>
    <row r="458">
      <c r="E458" s="35"/>
    </row>
    <row r="459">
      <c r="E459" s="35"/>
    </row>
    <row r="460">
      <c r="E460" s="35"/>
    </row>
    <row r="461">
      <c r="E461" s="35"/>
    </row>
    <row r="462">
      <c r="E462" s="35"/>
    </row>
    <row r="463">
      <c r="E463" s="35"/>
    </row>
    <row r="464">
      <c r="E464" s="35"/>
    </row>
    <row r="465">
      <c r="E465" s="35"/>
    </row>
    <row r="466">
      <c r="E466" s="35"/>
    </row>
    <row r="467">
      <c r="E467" s="35"/>
    </row>
    <row r="468">
      <c r="E468" s="35"/>
    </row>
    <row r="469">
      <c r="E469" s="35"/>
    </row>
    <row r="470">
      <c r="E470" s="35"/>
    </row>
    <row r="471">
      <c r="E471" s="35"/>
    </row>
    <row r="472">
      <c r="E472" s="35"/>
    </row>
    <row r="473">
      <c r="E473" s="35"/>
    </row>
    <row r="474">
      <c r="E474" s="35"/>
    </row>
    <row r="475">
      <c r="E475" s="35"/>
    </row>
    <row r="476">
      <c r="E476" s="35"/>
    </row>
    <row r="477">
      <c r="E477" s="35"/>
    </row>
    <row r="478">
      <c r="E478" s="35"/>
    </row>
    <row r="479">
      <c r="E479" s="35"/>
    </row>
    <row r="480">
      <c r="E480" s="35"/>
    </row>
    <row r="481">
      <c r="E481" s="35"/>
    </row>
    <row r="482">
      <c r="E482" s="35"/>
    </row>
    <row r="483">
      <c r="E483" s="35"/>
    </row>
    <row r="484">
      <c r="E484" s="35"/>
    </row>
    <row r="485">
      <c r="E485" s="35"/>
    </row>
    <row r="486">
      <c r="E486" s="35"/>
    </row>
    <row r="487">
      <c r="E487" s="35"/>
    </row>
    <row r="488">
      <c r="E488" s="35"/>
    </row>
    <row r="489">
      <c r="E489" s="35"/>
    </row>
    <row r="490">
      <c r="E490" s="35"/>
    </row>
    <row r="491">
      <c r="E491" s="35"/>
    </row>
    <row r="492">
      <c r="E492" s="35"/>
    </row>
    <row r="493">
      <c r="E493" s="35"/>
    </row>
    <row r="494">
      <c r="E494" s="35"/>
    </row>
    <row r="495">
      <c r="E495" s="35"/>
    </row>
    <row r="496">
      <c r="E496" s="35"/>
    </row>
    <row r="497">
      <c r="E497" s="35"/>
    </row>
    <row r="498">
      <c r="E498" s="35"/>
    </row>
    <row r="499">
      <c r="E499" s="35"/>
    </row>
    <row r="500">
      <c r="E500" s="35"/>
    </row>
    <row r="501">
      <c r="E501" s="35"/>
    </row>
    <row r="502">
      <c r="E502" s="35"/>
    </row>
    <row r="503">
      <c r="E503" s="35"/>
    </row>
    <row r="504">
      <c r="E504" s="35"/>
    </row>
    <row r="505">
      <c r="E505" s="35"/>
    </row>
    <row r="506">
      <c r="E506" s="35"/>
    </row>
    <row r="507">
      <c r="E507" s="35"/>
    </row>
    <row r="508">
      <c r="E508" s="35"/>
    </row>
    <row r="509">
      <c r="E509" s="35"/>
    </row>
    <row r="510">
      <c r="E510" s="35"/>
    </row>
    <row r="511">
      <c r="E511" s="35"/>
    </row>
    <row r="512">
      <c r="E512" s="35"/>
    </row>
    <row r="513">
      <c r="E513" s="35"/>
    </row>
    <row r="514">
      <c r="E514" s="35"/>
    </row>
    <row r="515">
      <c r="E515" s="35"/>
    </row>
    <row r="516">
      <c r="E516" s="35"/>
    </row>
    <row r="517">
      <c r="E517" s="35"/>
    </row>
    <row r="518">
      <c r="E518" s="35"/>
    </row>
    <row r="519">
      <c r="E519" s="35"/>
    </row>
    <row r="520">
      <c r="E520" s="35"/>
    </row>
    <row r="521">
      <c r="E521" s="35"/>
    </row>
    <row r="522">
      <c r="E522" s="35"/>
    </row>
    <row r="523">
      <c r="E523" s="35"/>
    </row>
    <row r="524">
      <c r="E524" s="35"/>
    </row>
    <row r="525">
      <c r="E525" s="35"/>
    </row>
    <row r="526">
      <c r="E526" s="35"/>
    </row>
    <row r="527">
      <c r="E527" s="35"/>
    </row>
    <row r="528">
      <c r="E528" s="35"/>
    </row>
    <row r="529">
      <c r="E529" s="35"/>
    </row>
    <row r="530">
      <c r="E530" s="35"/>
    </row>
    <row r="531">
      <c r="E531" s="35"/>
    </row>
    <row r="532">
      <c r="E532" s="35"/>
    </row>
    <row r="533">
      <c r="E533" s="35"/>
    </row>
    <row r="534">
      <c r="E534" s="35"/>
    </row>
    <row r="535">
      <c r="E535" s="35"/>
    </row>
    <row r="536">
      <c r="E536" s="35"/>
    </row>
    <row r="537">
      <c r="E537" s="35"/>
    </row>
    <row r="538">
      <c r="E538" s="35"/>
    </row>
    <row r="539">
      <c r="E539" s="35"/>
    </row>
    <row r="540">
      <c r="E540" s="35"/>
    </row>
    <row r="541">
      <c r="E541" s="35"/>
    </row>
    <row r="542">
      <c r="E542" s="35"/>
    </row>
    <row r="543">
      <c r="E543" s="35"/>
    </row>
    <row r="544">
      <c r="E544" s="35"/>
    </row>
    <row r="545">
      <c r="E545" s="35"/>
    </row>
    <row r="546">
      <c r="E546" s="35"/>
    </row>
    <row r="547">
      <c r="E547" s="35"/>
    </row>
    <row r="548">
      <c r="E548" s="35"/>
    </row>
    <row r="549">
      <c r="E549" s="35"/>
    </row>
    <row r="550">
      <c r="E550" s="35"/>
    </row>
    <row r="551">
      <c r="E551" s="35"/>
    </row>
    <row r="552">
      <c r="E552" s="35"/>
    </row>
    <row r="553">
      <c r="E553" s="35"/>
    </row>
    <row r="554">
      <c r="E554" s="35"/>
    </row>
    <row r="555">
      <c r="E555" s="35"/>
    </row>
    <row r="556">
      <c r="E556" s="35"/>
    </row>
    <row r="557">
      <c r="E557" s="35"/>
    </row>
    <row r="558">
      <c r="E558" s="35"/>
    </row>
    <row r="559">
      <c r="E559" s="35"/>
    </row>
    <row r="560">
      <c r="E560" s="35"/>
    </row>
    <row r="561">
      <c r="E561" s="35"/>
    </row>
    <row r="562">
      <c r="E562" s="35"/>
    </row>
    <row r="563">
      <c r="E563" s="35"/>
    </row>
    <row r="564">
      <c r="E564" s="35"/>
    </row>
    <row r="565">
      <c r="E565" s="35"/>
    </row>
    <row r="566">
      <c r="E566" s="35"/>
    </row>
    <row r="567">
      <c r="E567" s="35"/>
    </row>
    <row r="568">
      <c r="E568" s="35"/>
    </row>
    <row r="569">
      <c r="E569" s="35"/>
    </row>
    <row r="570">
      <c r="E570" s="35"/>
    </row>
    <row r="571">
      <c r="E571" s="35"/>
    </row>
    <row r="572">
      <c r="E572" s="35"/>
    </row>
    <row r="573">
      <c r="E573" s="35"/>
    </row>
    <row r="574">
      <c r="E574" s="35"/>
    </row>
    <row r="575">
      <c r="E575" s="35"/>
    </row>
    <row r="576">
      <c r="E576" s="35"/>
    </row>
    <row r="577">
      <c r="E577" s="35"/>
    </row>
    <row r="578">
      <c r="E578" s="35"/>
    </row>
    <row r="579">
      <c r="E579" s="35"/>
    </row>
    <row r="580">
      <c r="E580" s="35"/>
    </row>
    <row r="581">
      <c r="E581" s="35"/>
    </row>
    <row r="582">
      <c r="E582" s="35"/>
    </row>
    <row r="583">
      <c r="E583" s="35"/>
    </row>
    <row r="584">
      <c r="E584" s="35"/>
    </row>
    <row r="585">
      <c r="E585" s="35"/>
    </row>
    <row r="586">
      <c r="E586" s="35"/>
    </row>
    <row r="587">
      <c r="E587" s="35"/>
    </row>
    <row r="588">
      <c r="E588" s="35"/>
    </row>
    <row r="589">
      <c r="E589" s="35"/>
    </row>
    <row r="590">
      <c r="E590" s="35"/>
    </row>
    <row r="591">
      <c r="E591" s="35"/>
    </row>
    <row r="592">
      <c r="E592" s="35"/>
    </row>
    <row r="593">
      <c r="E593" s="35"/>
    </row>
    <row r="594">
      <c r="E594" s="35"/>
    </row>
    <row r="595">
      <c r="E595" s="35"/>
    </row>
    <row r="596">
      <c r="E596" s="35"/>
    </row>
    <row r="597">
      <c r="E597" s="35"/>
    </row>
    <row r="598">
      <c r="E598" s="35"/>
    </row>
    <row r="599">
      <c r="E599" s="35"/>
    </row>
    <row r="600">
      <c r="E600" s="35"/>
    </row>
    <row r="601">
      <c r="E601" s="35"/>
    </row>
    <row r="602">
      <c r="E602" s="35"/>
    </row>
    <row r="603">
      <c r="E603" s="35"/>
    </row>
    <row r="604">
      <c r="E604" s="35"/>
    </row>
    <row r="605">
      <c r="E605" s="35"/>
    </row>
    <row r="606">
      <c r="E606" s="35"/>
    </row>
    <row r="607">
      <c r="E607" s="35"/>
    </row>
    <row r="608">
      <c r="E608" s="35"/>
    </row>
    <row r="609">
      <c r="E609" s="35"/>
    </row>
    <row r="610">
      <c r="E610" s="35"/>
    </row>
    <row r="611">
      <c r="E611" s="35"/>
    </row>
    <row r="612">
      <c r="E612" s="35"/>
    </row>
    <row r="613">
      <c r="E613" s="35"/>
    </row>
    <row r="614">
      <c r="E614" s="35"/>
    </row>
    <row r="615">
      <c r="E615" s="35"/>
    </row>
    <row r="616">
      <c r="E616" s="35"/>
    </row>
    <row r="617">
      <c r="E617" s="35"/>
    </row>
    <row r="618">
      <c r="E618" s="35"/>
    </row>
    <row r="619">
      <c r="E619" s="35"/>
    </row>
    <row r="620">
      <c r="E620" s="35"/>
    </row>
    <row r="621">
      <c r="E621" s="35"/>
    </row>
    <row r="622">
      <c r="E622" s="35"/>
    </row>
    <row r="623">
      <c r="E623" s="35"/>
    </row>
    <row r="624">
      <c r="E624" s="35"/>
    </row>
    <row r="625">
      <c r="E625" s="35"/>
    </row>
    <row r="626">
      <c r="E626" s="35"/>
    </row>
    <row r="627">
      <c r="E627" s="35"/>
    </row>
    <row r="628">
      <c r="E628" s="35"/>
    </row>
    <row r="629">
      <c r="E629" s="35"/>
    </row>
    <row r="630">
      <c r="E630" s="35"/>
    </row>
    <row r="631">
      <c r="E631" s="35"/>
    </row>
    <row r="632">
      <c r="E632" s="35"/>
    </row>
    <row r="633">
      <c r="E633" s="35"/>
    </row>
    <row r="634">
      <c r="E634" s="35"/>
    </row>
    <row r="635">
      <c r="E635" s="35"/>
    </row>
    <row r="636">
      <c r="E636" s="35"/>
    </row>
    <row r="637">
      <c r="E637" s="35"/>
    </row>
    <row r="638">
      <c r="E638" s="35"/>
    </row>
    <row r="639">
      <c r="E639" s="35"/>
    </row>
    <row r="640">
      <c r="E640" s="35"/>
    </row>
    <row r="641">
      <c r="E641" s="35"/>
    </row>
    <row r="642">
      <c r="E642" s="35"/>
    </row>
    <row r="643">
      <c r="E643" s="35"/>
    </row>
    <row r="644">
      <c r="E644" s="35"/>
    </row>
    <row r="645">
      <c r="E645" s="35"/>
    </row>
    <row r="646">
      <c r="E646" s="35"/>
    </row>
    <row r="647">
      <c r="E647" s="35"/>
    </row>
    <row r="648">
      <c r="E648" s="35"/>
    </row>
    <row r="649">
      <c r="E649" s="35"/>
    </row>
    <row r="650">
      <c r="E650" s="35"/>
    </row>
    <row r="651">
      <c r="E651" s="35"/>
    </row>
    <row r="652">
      <c r="E652" s="35"/>
    </row>
    <row r="653">
      <c r="E653" s="35"/>
    </row>
    <row r="654">
      <c r="E654" s="35"/>
    </row>
    <row r="655">
      <c r="E655" s="35"/>
    </row>
    <row r="656">
      <c r="E656" s="35"/>
    </row>
    <row r="657">
      <c r="E657" s="35"/>
    </row>
    <row r="658">
      <c r="E658" s="35"/>
    </row>
    <row r="659">
      <c r="E659" s="35"/>
    </row>
    <row r="660">
      <c r="E660" s="35"/>
    </row>
    <row r="661">
      <c r="E661" s="35"/>
    </row>
    <row r="662">
      <c r="E662" s="35"/>
    </row>
    <row r="663">
      <c r="E663" s="35"/>
    </row>
    <row r="664">
      <c r="E664" s="35"/>
    </row>
    <row r="665">
      <c r="E665" s="35"/>
    </row>
    <row r="666">
      <c r="E666" s="35"/>
    </row>
    <row r="667">
      <c r="E667" s="35"/>
    </row>
    <row r="668">
      <c r="E668" s="35"/>
    </row>
    <row r="669">
      <c r="E669" s="35"/>
    </row>
    <row r="670">
      <c r="E670" s="35"/>
    </row>
    <row r="671">
      <c r="E671" s="35"/>
    </row>
    <row r="672">
      <c r="E672" s="35"/>
    </row>
    <row r="673">
      <c r="E673" s="35"/>
    </row>
    <row r="674">
      <c r="E674" s="35"/>
    </row>
    <row r="675">
      <c r="E675" s="35"/>
    </row>
    <row r="676">
      <c r="E676" s="35"/>
    </row>
    <row r="677">
      <c r="E677" s="35"/>
    </row>
    <row r="678">
      <c r="E678" s="35"/>
    </row>
    <row r="679">
      <c r="E679" s="35"/>
    </row>
    <row r="680">
      <c r="E680" s="35"/>
    </row>
    <row r="681">
      <c r="E681" s="35"/>
    </row>
    <row r="682">
      <c r="E682" s="35"/>
    </row>
    <row r="683">
      <c r="E683" s="35"/>
    </row>
    <row r="684">
      <c r="E684" s="35"/>
    </row>
    <row r="685">
      <c r="E685" s="35"/>
    </row>
    <row r="686">
      <c r="E686" s="35"/>
    </row>
    <row r="687">
      <c r="E687" s="35"/>
    </row>
    <row r="688">
      <c r="E688" s="35"/>
    </row>
    <row r="689">
      <c r="E689" s="35"/>
    </row>
    <row r="690">
      <c r="E690" s="35"/>
    </row>
    <row r="691">
      <c r="E691" s="35"/>
    </row>
    <row r="692">
      <c r="E692" s="35"/>
    </row>
    <row r="693">
      <c r="E693" s="35"/>
    </row>
    <row r="694">
      <c r="E694" s="35"/>
    </row>
    <row r="695">
      <c r="E695" s="35"/>
    </row>
    <row r="696">
      <c r="E696" s="35"/>
    </row>
    <row r="697">
      <c r="E697" s="35"/>
    </row>
    <row r="698">
      <c r="E698" s="35"/>
    </row>
    <row r="699">
      <c r="E699" s="35"/>
    </row>
    <row r="700">
      <c r="E700" s="35"/>
    </row>
    <row r="701">
      <c r="E701" s="35"/>
    </row>
    <row r="702">
      <c r="E702" s="35"/>
    </row>
    <row r="703">
      <c r="E703" s="35"/>
    </row>
    <row r="704">
      <c r="E704" s="35"/>
    </row>
    <row r="705">
      <c r="E705" s="35"/>
    </row>
    <row r="706">
      <c r="E706" s="35"/>
    </row>
    <row r="707">
      <c r="E707" s="35"/>
    </row>
    <row r="708">
      <c r="E708" s="35"/>
    </row>
    <row r="709">
      <c r="E709" s="35"/>
    </row>
    <row r="710">
      <c r="E710" s="35"/>
    </row>
    <row r="711">
      <c r="E711" s="35"/>
    </row>
    <row r="712">
      <c r="E712" s="35"/>
    </row>
    <row r="713">
      <c r="E713" s="35"/>
    </row>
    <row r="714">
      <c r="E714" s="35"/>
    </row>
    <row r="715">
      <c r="E715" s="35"/>
    </row>
    <row r="716">
      <c r="E716" s="35"/>
    </row>
    <row r="717">
      <c r="E717" s="35"/>
    </row>
    <row r="718">
      <c r="E718" s="35"/>
    </row>
    <row r="719">
      <c r="E719" s="35"/>
    </row>
    <row r="720">
      <c r="E720" s="35"/>
    </row>
    <row r="721">
      <c r="E721" s="35"/>
    </row>
    <row r="722">
      <c r="E722" s="35"/>
    </row>
    <row r="723">
      <c r="E723" s="35"/>
    </row>
    <row r="724">
      <c r="E724" s="35"/>
    </row>
    <row r="725">
      <c r="E725" s="35"/>
    </row>
    <row r="726">
      <c r="E726" s="35"/>
    </row>
    <row r="727">
      <c r="E727" s="35"/>
    </row>
    <row r="728">
      <c r="E728" s="35"/>
    </row>
    <row r="729">
      <c r="E729" s="35"/>
    </row>
    <row r="730">
      <c r="E730" s="35"/>
    </row>
    <row r="731">
      <c r="E731" s="35"/>
    </row>
    <row r="732">
      <c r="E732" s="35"/>
    </row>
    <row r="733">
      <c r="E733" s="35"/>
    </row>
    <row r="734">
      <c r="E734" s="35"/>
    </row>
    <row r="735">
      <c r="E735" s="35"/>
    </row>
    <row r="736">
      <c r="E736" s="35"/>
    </row>
    <row r="737">
      <c r="E737" s="35"/>
    </row>
    <row r="738">
      <c r="E738" s="35"/>
    </row>
    <row r="739">
      <c r="E739" s="35"/>
    </row>
    <row r="740">
      <c r="E740" s="35"/>
    </row>
    <row r="741">
      <c r="E741" s="35"/>
    </row>
    <row r="742">
      <c r="E742" s="35"/>
    </row>
    <row r="743">
      <c r="E743" s="35"/>
    </row>
    <row r="744">
      <c r="E744" s="35"/>
    </row>
    <row r="745">
      <c r="E745" s="35"/>
    </row>
    <row r="746">
      <c r="E746" s="35"/>
    </row>
    <row r="747">
      <c r="E747" s="35"/>
    </row>
    <row r="748">
      <c r="E748" s="35"/>
    </row>
    <row r="749">
      <c r="E749" s="35"/>
    </row>
    <row r="750">
      <c r="E750" s="35"/>
    </row>
    <row r="751">
      <c r="E751" s="35"/>
    </row>
    <row r="752">
      <c r="E752" s="35"/>
    </row>
    <row r="753">
      <c r="E753" s="35"/>
    </row>
    <row r="754">
      <c r="E754" s="35"/>
    </row>
    <row r="755">
      <c r="E755" s="35"/>
    </row>
    <row r="756">
      <c r="E756" s="35"/>
    </row>
    <row r="757">
      <c r="E757" s="35"/>
    </row>
    <row r="758">
      <c r="E758" s="35"/>
    </row>
    <row r="759">
      <c r="E759" s="35"/>
    </row>
    <row r="760">
      <c r="E760" s="35"/>
    </row>
    <row r="761">
      <c r="E761" s="35"/>
    </row>
    <row r="762">
      <c r="E762" s="35"/>
    </row>
    <row r="763">
      <c r="E763" s="35"/>
    </row>
    <row r="764">
      <c r="E764" s="35"/>
    </row>
    <row r="765">
      <c r="E765" s="35"/>
    </row>
    <row r="766">
      <c r="E766" s="35"/>
    </row>
    <row r="767">
      <c r="E767" s="35"/>
    </row>
    <row r="768">
      <c r="E768" s="35"/>
    </row>
    <row r="769">
      <c r="E769" s="35"/>
    </row>
    <row r="770">
      <c r="E770" s="35"/>
    </row>
    <row r="771">
      <c r="E771" s="35"/>
    </row>
    <row r="772">
      <c r="E772" s="35"/>
    </row>
    <row r="773">
      <c r="E773" s="35"/>
    </row>
    <row r="774">
      <c r="E774" s="35"/>
    </row>
    <row r="775">
      <c r="E775" s="35"/>
    </row>
    <row r="776">
      <c r="E776" s="35"/>
    </row>
    <row r="777">
      <c r="E777" s="35"/>
    </row>
    <row r="778">
      <c r="E778" s="35"/>
    </row>
    <row r="779">
      <c r="E779" s="35"/>
    </row>
    <row r="780">
      <c r="E780" s="35"/>
    </row>
    <row r="781">
      <c r="E781" s="35"/>
    </row>
    <row r="782">
      <c r="E782" s="35"/>
    </row>
    <row r="783">
      <c r="E783" s="35"/>
    </row>
    <row r="784">
      <c r="E784" s="35"/>
    </row>
    <row r="785">
      <c r="E785" s="35"/>
    </row>
    <row r="786">
      <c r="E786" s="35"/>
    </row>
    <row r="787">
      <c r="E787" s="35"/>
    </row>
    <row r="788">
      <c r="E788" s="35"/>
    </row>
    <row r="789">
      <c r="E789" s="35"/>
    </row>
    <row r="790">
      <c r="E790" s="35"/>
    </row>
    <row r="791">
      <c r="E791" s="35"/>
    </row>
    <row r="792">
      <c r="E792" s="35"/>
    </row>
    <row r="793">
      <c r="E793" s="35"/>
    </row>
    <row r="794">
      <c r="E794" s="35"/>
    </row>
    <row r="795">
      <c r="E795" s="35"/>
    </row>
    <row r="796">
      <c r="E796" s="35"/>
    </row>
    <row r="797">
      <c r="E797" s="35"/>
    </row>
    <row r="798">
      <c r="E798" s="35"/>
    </row>
    <row r="799">
      <c r="E799" s="35"/>
    </row>
    <row r="800">
      <c r="E800" s="35"/>
    </row>
    <row r="801">
      <c r="E801" s="35"/>
    </row>
    <row r="802">
      <c r="E802" s="35"/>
    </row>
    <row r="803">
      <c r="E803" s="35"/>
    </row>
    <row r="804">
      <c r="E804" s="35"/>
    </row>
    <row r="805">
      <c r="E805" s="35"/>
    </row>
    <row r="806">
      <c r="E806" s="35"/>
    </row>
    <row r="807">
      <c r="E807" s="35"/>
    </row>
    <row r="808">
      <c r="E808" s="35"/>
    </row>
    <row r="809">
      <c r="E809" s="35"/>
    </row>
    <row r="810">
      <c r="E810" s="35"/>
    </row>
    <row r="811">
      <c r="E811" s="35"/>
    </row>
    <row r="812">
      <c r="E812" s="35"/>
    </row>
    <row r="813">
      <c r="E813" s="35"/>
    </row>
    <row r="814">
      <c r="E814" s="35"/>
    </row>
    <row r="815">
      <c r="E815" s="35"/>
    </row>
    <row r="816">
      <c r="E816" s="35"/>
    </row>
    <row r="817">
      <c r="E817" s="35"/>
    </row>
    <row r="818">
      <c r="E818" s="35"/>
    </row>
    <row r="819">
      <c r="E819" s="35"/>
    </row>
    <row r="820">
      <c r="E820" s="35"/>
    </row>
    <row r="821">
      <c r="E821" s="35"/>
    </row>
    <row r="822">
      <c r="E822" s="35"/>
    </row>
    <row r="823">
      <c r="E823" s="35"/>
    </row>
    <row r="824">
      <c r="E824" s="35"/>
    </row>
    <row r="825">
      <c r="E825" s="35"/>
    </row>
    <row r="826">
      <c r="E826" s="35"/>
    </row>
    <row r="827">
      <c r="E827" s="35"/>
    </row>
    <row r="828">
      <c r="E828" s="35"/>
    </row>
    <row r="829">
      <c r="E829" s="35"/>
    </row>
    <row r="830">
      <c r="E830" s="35"/>
    </row>
    <row r="831">
      <c r="E831" s="35"/>
    </row>
    <row r="832">
      <c r="E832" s="35"/>
    </row>
    <row r="833">
      <c r="E833" s="35"/>
    </row>
    <row r="834">
      <c r="E834" s="35"/>
    </row>
    <row r="835">
      <c r="E835" s="35"/>
    </row>
    <row r="836">
      <c r="E836" s="35"/>
    </row>
    <row r="837">
      <c r="E837" s="35"/>
    </row>
    <row r="838">
      <c r="E838" s="35"/>
    </row>
    <row r="839">
      <c r="E839" s="35"/>
    </row>
    <row r="840">
      <c r="E840" s="35"/>
    </row>
    <row r="841">
      <c r="E841" s="35"/>
    </row>
    <row r="842">
      <c r="E842" s="35"/>
    </row>
    <row r="843">
      <c r="E843" s="35"/>
    </row>
    <row r="844">
      <c r="E844" s="35"/>
    </row>
    <row r="845">
      <c r="E845" s="35"/>
    </row>
    <row r="846">
      <c r="E846" s="35"/>
    </row>
    <row r="847">
      <c r="E847" s="35"/>
    </row>
    <row r="848">
      <c r="E848" s="35"/>
    </row>
    <row r="849">
      <c r="E849" s="35"/>
    </row>
    <row r="850">
      <c r="E850" s="35"/>
    </row>
    <row r="851">
      <c r="E851" s="35"/>
    </row>
    <row r="852">
      <c r="E852" s="35"/>
    </row>
    <row r="853">
      <c r="E853" s="35"/>
    </row>
    <row r="854">
      <c r="E854" s="35"/>
    </row>
    <row r="855">
      <c r="E855" s="35"/>
    </row>
    <row r="856">
      <c r="E856" s="35"/>
    </row>
    <row r="857">
      <c r="E857" s="35"/>
    </row>
    <row r="858">
      <c r="E858" s="35"/>
    </row>
    <row r="859">
      <c r="E859" s="35"/>
    </row>
    <row r="860">
      <c r="E860" s="35"/>
    </row>
    <row r="861">
      <c r="E861" s="35"/>
    </row>
    <row r="862">
      <c r="E862" s="35"/>
    </row>
    <row r="863">
      <c r="E863" s="35"/>
    </row>
    <row r="864">
      <c r="E864" s="35"/>
    </row>
    <row r="865">
      <c r="E865" s="35"/>
    </row>
    <row r="866">
      <c r="E866" s="35"/>
    </row>
    <row r="867">
      <c r="E867" s="35"/>
    </row>
    <row r="868">
      <c r="E868" s="35"/>
    </row>
    <row r="869">
      <c r="E869" s="35"/>
    </row>
    <row r="870">
      <c r="E870" s="35"/>
    </row>
    <row r="871">
      <c r="E871" s="35"/>
    </row>
    <row r="872">
      <c r="E872" s="35"/>
    </row>
    <row r="873">
      <c r="E873" s="35"/>
    </row>
    <row r="874">
      <c r="E874" s="35"/>
    </row>
    <row r="875">
      <c r="E875" s="35"/>
    </row>
    <row r="876">
      <c r="E876" s="35"/>
    </row>
    <row r="877">
      <c r="E877" s="35"/>
    </row>
    <row r="878">
      <c r="E878" s="35"/>
    </row>
    <row r="879">
      <c r="E879" s="35"/>
    </row>
    <row r="880">
      <c r="E880" s="35"/>
    </row>
    <row r="881">
      <c r="E881" s="35"/>
    </row>
    <row r="882">
      <c r="E882" s="35"/>
    </row>
    <row r="883">
      <c r="E883" s="35"/>
    </row>
    <row r="884">
      <c r="E884" s="35"/>
    </row>
    <row r="885">
      <c r="E885" s="35"/>
    </row>
    <row r="886">
      <c r="E886" s="35"/>
    </row>
    <row r="887">
      <c r="E887" s="35"/>
    </row>
    <row r="888">
      <c r="E888" s="35"/>
    </row>
    <row r="889">
      <c r="E889" s="35"/>
    </row>
    <row r="890">
      <c r="E890" s="35"/>
    </row>
    <row r="891">
      <c r="E891" s="35"/>
    </row>
    <row r="892">
      <c r="E892" s="35"/>
    </row>
    <row r="893">
      <c r="E893" s="35"/>
    </row>
    <row r="894">
      <c r="E894" s="35"/>
    </row>
    <row r="895">
      <c r="E895" s="35"/>
    </row>
    <row r="896">
      <c r="E896" s="35"/>
    </row>
    <row r="897">
      <c r="E897" s="35"/>
    </row>
    <row r="898">
      <c r="E898" s="35"/>
    </row>
    <row r="899">
      <c r="E899" s="35"/>
    </row>
    <row r="900">
      <c r="E900" s="35"/>
    </row>
    <row r="901">
      <c r="E901" s="35"/>
    </row>
    <row r="902">
      <c r="E902" s="35"/>
    </row>
    <row r="903">
      <c r="E903" s="35"/>
    </row>
    <row r="904">
      <c r="E904" s="35"/>
    </row>
    <row r="905">
      <c r="E905" s="35"/>
    </row>
    <row r="906">
      <c r="E906" s="35"/>
    </row>
    <row r="907">
      <c r="E907" s="35"/>
    </row>
    <row r="908">
      <c r="E908" s="35"/>
    </row>
    <row r="909">
      <c r="E909" s="35"/>
    </row>
    <row r="910">
      <c r="E910" s="35"/>
    </row>
    <row r="911">
      <c r="E911" s="35"/>
    </row>
    <row r="912">
      <c r="E912" s="35"/>
    </row>
    <row r="913">
      <c r="E913" s="35"/>
    </row>
    <row r="914">
      <c r="E914" s="35"/>
    </row>
    <row r="915">
      <c r="E915" s="35"/>
    </row>
    <row r="916">
      <c r="E916" s="35"/>
    </row>
    <row r="917">
      <c r="E917" s="35"/>
    </row>
    <row r="918">
      <c r="E918" s="35"/>
    </row>
    <row r="919">
      <c r="E919" s="35"/>
    </row>
    <row r="920">
      <c r="E920" s="35"/>
    </row>
    <row r="921">
      <c r="E921" s="35"/>
    </row>
    <row r="922">
      <c r="E922" s="35"/>
    </row>
    <row r="923">
      <c r="E923" s="35"/>
    </row>
    <row r="924">
      <c r="E924" s="35"/>
    </row>
    <row r="925">
      <c r="E925" s="35"/>
    </row>
    <row r="926">
      <c r="E926" s="35"/>
    </row>
    <row r="927">
      <c r="E927" s="35"/>
    </row>
    <row r="928">
      <c r="E928" s="35"/>
    </row>
    <row r="929">
      <c r="E929" s="35"/>
    </row>
    <row r="930">
      <c r="E930" s="35"/>
    </row>
    <row r="931">
      <c r="E931" s="35"/>
    </row>
    <row r="932">
      <c r="E932" s="35"/>
    </row>
    <row r="933">
      <c r="E933" s="35"/>
    </row>
    <row r="934">
      <c r="E934" s="35"/>
    </row>
    <row r="935">
      <c r="E935" s="35"/>
    </row>
    <row r="936">
      <c r="E936" s="35"/>
    </row>
    <row r="937">
      <c r="E937" s="35"/>
    </row>
    <row r="938">
      <c r="E938" s="35"/>
    </row>
    <row r="939">
      <c r="E939" s="35"/>
    </row>
    <row r="940">
      <c r="E940" s="35"/>
    </row>
    <row r="941">
      <c r="E941" s="35"/>
    </row>
    <row r="942">
      <c r="E942" s="35"/>
    </row>
    <row r="943">
      <c r="E943" s="35"/>
    </row>
    <row r="944">
      <c r="E944" s="35"/>
    </row>
    <row r="945">
      <c r="E945" s="35"/>
    </row>
    <row r="946">
      <c r="E946" s="35"/>
    </row>
    <row r="947">
      <c r="E947" s="35"/>
    </row>
    <row r="948">
      <c r="E948" s="35"/>
    </row>
    <row r="949">
      <c r="E949" s="35"/>
    </row>
    <row r="950">
      <c r="E950" s="35"/>
    </row>
    <row r="951">
      <c r="E951" s="35"/>
    </row>
    <row r="952">
      <c r="E952" s="35"/>
    </row>
    <row r="953">
      <c r="E953" s="35"/>
    </row>
    <row r="954">
      <c r="E954" s="35"/>
    </row>
    <row r="955">
      <c r="E955" s="35"/>
    </row>
    <row r="956">
      <c r="E956" s="35"/>
    </row>
    <row r="957">
      <c r="E957" s="35"/>
    </row>
    <row r="958">
      <c r="E958" s="35"/>
    </row>
    <row r="959">
      <c r="E959" s="35"/>
    </row>
    <row r="960">
      <c r="E960" s="35"/>
    </row>
    <row r="961">
      <c r="E961" s="35"/>
    </row>
    <row r="962">
      <c r="E962" s="35"/>
    </row>
    <row r="963">
      <c r="E963" s="35"/>
    </row>
    <row r="964">
      <c r="E964" s="35"/>
    </row>
    <row r="965">
      <c r="E965" s="35"/>
    </row>
    <row r="966">
      <c r="E966" s="35"/>
    </row>
    <row r="967">
      <c r="E967" s="35"/>
    </row>
    <row r="968">
      <c r="E968" s="35"/>
    </row>
    <row r="969">
      <c r="E969" s="35"/>
    </row>
    <row r="970">
      <c r="E970" s="35"/>
    </row>
    <row r="971">
      <c r="E971" s="35"/>
    </row>
    <row r="972">
      <c r="E972" s="35"/>
    </row>
    <row r="973">
      <c r="E973" s="35"/>
    </row>
    <row r="974">
      <c r="E974" s="35"/>
    </row>
    <row r="975">
      <c r="E975" s="35"/>
    </row>
    <row r="976">
      <c r="E976" s="35"/>
    </row>
    <row r="977">
      <c r="E977" s="35"/>
    </row>
    <row r="978">
      <c r="E978" s="35"/>
    </row>
    <row r="979">
      <c r="E979" s="35"/>
    </row>
    <row r="980">
      <c r="E980" s="35"/>
    </row>
    <row r="981">
      <c r="E981" s="35"/>
    </row>
    <row r="982">
      <c r="E982" s="35"/>
    </row>
    <row r="983">
      <c r="E983" s="35"/>
    </row>
    <row r="984">
      <c r="E984" s="35"/>
    </row>
    <row r="985">
      <c r="E985" s="35"/>
    </row>
    <row r="986">
      <c r="E986" s="35"/>
    </row>
    <row r="987">
      <c r="E987" s="35"/>
    </row>
    <row r="988">
      <c r="E988" s="35"/>
    </row>
    <row r="989">
      <c r="E989" s="35"/>
    </row>
    <row r="990">
      <c r="E990" s="35"/>
    </row>
    <row r="991">
      <c r="E991" s="35"/>
    </row>
    <row r="992">
      <c r="E992" s="35"/>
    </row>
    <row r="993">
      <c r="E993" s="35"/>
    </row>
    <row r="994">
      <c r="E994" s="35"/>
    </row>
    <row r="995">
      <c r="E995" s="35"/>
    </row>
    <row r="996">
      <c r="E996" s="35"/>
    </row>
    <row r="997">
      <c r="E997" s="35"/>
    </row>
    <row r="998">
      <c r="E998" s="35"/>
    </row>
    <row r="999">
      <c r="E999" s="35"/>
    </row>
    <row r="1000">
      <c r="E1000" s="35"/>
    </row>
    <row r="1001">
      <c r="E1001" s="35"/>
    </row>
    <row r="1002">
      <c r="E1002" s="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4.25"/>
    <col customWidth="1" min="3" max="3" width="14.75"/>
    <col customWidth="1" min="5" max="5" width="17.0"/>
    <col customWidth="1" min="6" max="6" width="18.5"/>
    <col customWidth="1" min="7" max="7" width="18.75"/>
    <col customWidth="1" min="8" max="8" width="20.13"/>
    <col customWidth="1" min="9" max="9" width="16.25"/>
    <col customWidth="1" min="10" max="10" width="15.88"/>
  </cols>
  <sheetData>
    <row r="1" ht="22.5" customHeight="1">
      <c r="A1" s="45" t="s">
        <v>157</v>
      </c>
      <c r="B1" s="45" t="s">
        <v>80</v>
      </c>
      <c r="C1" s="45" t="s">
        <v>81</v>
      </c>
      <c r="D1" s="45" t="s">
        <v>2</v>
      </c>
      <c r="E1" s="45" t="s">
        <v>82</v>
      </c>
      <c r="F1" s="45" t="s">
        <v>30</v>
      </c>
      <c r="G1" s="45" t="s">
        <v>83</v>
      </c>
      <c r="H1" s="45" t="s">
        <v>84</v>
      </c>
      <c r="I1" s="45" t="s">
        <v>3</v>
      </c>
      <c r="J1" s="46" t="s">
        <v>158</v>
      </c>
    </row>
    <row r="2" ht="22.5" customHeight="1">
      <c r="A2" s="3" t="s">
        <v>15</v>
      </c>
      <c r="B2" s="3">
        <v>808.27</v>
      </c>
      <c r="C2" s="3">
        <v>650.0</v>
      </c>
      <c r="D2" s="47">
        <f>IFERROR(__xludf.DUMMYFUNCTION("GOOGLEFINANCE(A2,""PRICE"")"),1820.0)</f>
        <v>1820</v>
      </c>
      <c r="E2" s="48">
        <f t="shared" ref="E2:F2" si="1">B2*C2</f>
        <v>525375.5</v>
      </c>
      <c r="F2" s="48">
        <f t="shared" si="1"/>
        <v>1183000</v>
      </c>
      <c r="G2" s="48">
        <f>IFERROR(__xludf.DUMMYFUNCTION("GOOGLEFINANCE(A2,""changepct"")"),-1.95)</f>
        <v>-1.95</v>
      </c>
      <c r="H2" s="49">
        <f t="shared" ref="H2:H26" si="3">(D2-B2)/B2</f>
        <v>1.251722815</v>
      </c>
      <c r="I2" s="49">
        <f t="shared" ref="I2:I26" si="4">F2/F$28</f>
        <v>0.06697199291</v>
      </c>
      <c r="J2" s="48">
        <f t="shared" ref="J2:J26" si="5">F2-E2</f>
        <v>657624.5</v>
      </c>
    </row>
    <row r="3" ht="22.5" customHeight="1">
      <c r="A3" s="3" t="s">
        <v>86</v>
      </c>
      <c r="B3" s="3">
        <v>5900.0</v>
      </c>
      <c r="C3" s="50">
        <v>70.0</v>
      </c>
      <c r="D3" s="51">
        <f>IFERROR(__xludf.DUMMYFUNCTION("GOOGLEFINANCE(A3,""PRICE"")"),17750.0)</f>
        <v>17750</v>
      </c>
      <c r="E3" s="52">
        <f t="shared" ref="E3:F3" si="2">B3*C3</f>
        <v>413000</v>
      </c>
      <c r="F3" s="48">
        <f t="shared" si="2"/>
        <v>1242500</v>
      </c>
      <c r="G3" s="48">
        <f>IFERROR(__xludf.DUMMYFUNCTION("GOOGLEFINANCE(A3,""changepct"")"),2.69)</f>
        <v>2.69</v>
      </c>
      <c r="H3" s="49">
        <f t="shared" si="3"/>
        <v>2.008474576</v>
      </c>
      <c r="I3" s="49">
        <f t="shared" si="4"/>
        <v>0.07034040675</v>
      </c>
      <c r="J3" s="48">
        <f t="shared" si="5"/>
        <v>829500</v>
      </c>
    </row>
    <row r="4" ht="22.5" customHeight="1">
      <c r="A4" s="3" t="s">
        <v>13</v>
      </c>
      <c r="B4" s="50">
        <v>186.6476077</v>
      </c>
      <c r="C4" s="50">
        <v>2725.0</v>
      </c>
      <c r="D4" s="51">
        <f>IFERROR(__xludf.DUMMYFUNCTION("GOOGLEFINANCE(A4,""PRICE"")"),158.58)</f>
        <v>158.58</v>
      </c>
      <c r="E4" s="52">
        <f t="shared" ref="E4:F4" si="6">B4*C4</f>
        <v>508614.731</v>
      </c>
      <c r="F4" s="48">
        <f t="shared" si="6"/>
        <v>432130.5</v>
      </c>
      <c r="G4" s="48">
        <f>IFERROR(__xludf.DUMMYFUNCTION("GOOGLEFINANCE(A4,""changepct"")"),0.14)</f>
        <v>0.14</v>
      </c>
      <c r="H4" s="49">
        <f t="shared" si="3"/>
        <v>-0.1503775379</v>
      </c>
      <c r="I4" s="49">
        <f t="shared" si="4"/>
        <v>0.02446377074</v>
      </c>
      <c r="J4" s="48">
        <f t="shared" si="5"/>
        <v>-76484.23098</v>
      </c>
    </row>
    <row r="5" ht="22.5" customHeight="1">
      <c r="A5" s="3" t="s">
        <v>89</v>
      </c>
      <c r="B5" s="50">
        <v>132.1726496</v>
      </c>
      <c r="C5" s="50">
        <v>5850.0</v>
      </c>
      <c r="D5" s="51">
        <f>IFERROR(__xludf.DUMMYFUNCTION("GOOGLEFINANCE(A5,""PRICE"")"),145.37)</f>
        <v>145.37</v>
      </c>
      <c r="E5" s="52">
        <f t="shared" ref="E5:F5" si="7">B5*C5</f>
        <v>773210.0002</v>
      </c>
      <c r="F5" s="48">
        <f t="shared" si="7"/>
        <v>850414.5</v>
      </c>
      <c r="G5" s="48">
        <f>IFERROR(__xludf.DUMMYFUNCTION("GOOGLEFINANCE(A5,""changepct"")"),1.76)</f>
        <v>1.76</v>
      </c>
      <c r="H5" s="49">
        <f t="shared" si="3"/>
        <v>0.09984932919</v>
      </c>
      <c r="I5" s="49">
        <f t="shared" si="4"/>
        <v>0.04814366345</v>
      </c>
      <c r="J5" s="48">
        <f t="shared" si="5"/>
        <v>77204.49984</v>
      </c>
    </row>
    <row r="6" ht="22.5" customHeight="1">
      <c r="A6" s="53" t="s">
        <v>90</v>
      </c>
      <c r="B6" s="50">
        <v>598.2470588</v>
      </c>
      <c r="C6" s="50">
        <v>850.0</v>
      </c>
      <c r="D6" s="51">
        <f>IFERROR(__xludf.DUMMYFUNCTION("GOOGLEFINANCE(A6,""PRICE"")"),522.5)</f>
        <v>522.5</v>
      </c>
      <c r="E6" s="52">
        <f t="shared" ref="E6:F6" si="8">B6*C6</f>
        <v>508510</v>
      </c>
      <c r="F6" s="48">
        <f t="shared" si="8"/>
        <v>444125</v>
      </c>
      <c r="G6" s="48">
        <f>IFERROR(__xludf.DUMMYFUNCTION("GOOGLEFINANCE(A6,""changepct"")"),1.49)</f>
        <v>1.49</v>
      </c>
      <c r="H6" s="49">
        <f t="shared" si="3"/>
        <v>-0.1266150125</v>
      </c>
      <c r="I6" s="49">
        <f t="shared" si="4"/>
        <v>0.02514280334</v>
      </c>
      <c r="J6" s="48">
        <f t="shared" si="5"/>
        <v>-64384.99998</v>
      </c>
    </row>
    <row r="7" ht="22.5" customHeight="1">
      <c r="A7" s="3" t="s">
        <v>17</v>
      </c>
      <c r="B7" s="50">
        <v>353.418949</v>
      </c>
      <c r="C7" s="50">
        <v>1351.0</v>
      </c>
      <c r="D7" s="51">
        <f>IFERROR(__xludf.DUMMYFUNCTION("GOOGLEFINANCE(A7,""PRICE"")"),1227.9)</f>
        <v>1227.9</v>
      </c>
      <c r="E7" s="52">
        <f t="shared" ref="E7:F7" si="9">B7*C7</f>
        <v>477469.0001</v>
      </c>
      <c r="F7" s="48">
        <f t="shared" si="9"/>
        <v>1658892.9</v>
      </c>
      <c r="G7" s="48">
        <f>IFERROR(__xludf.DUMMYFUNCTION("GOOGLEFINANCE(A7,""changepct"")"),-1.4)</f>
        <v>-1.4</v>
      </c>
      <c r="H7" s="49">
        <f t="shared" si="3"/>
        <v>2.474346816</v>
      </c>
      <c r="I7" s="49">
        <f t="shared" si="4"/>
        <v>0.09391324052</v>
      </c>
      <c r="J7" s="48">
        <f t="shared" si="5"/>
        <v>1181423.9</v>
      </c>
    </row>
    <row r="8" ht="22.5" customHeight="1">
      <c r="A8" s="3" t="s">
        <v>95</v>
      </c>
      <c r="B8" s="50">
        <v>549.37</v>
      </c>
      <c r="C8" s="50">
        <v>1120.0</v>
      </c>
      <c r="D8" s="51">
        <f>IFERROR(__xludf.DUMMYFUNCTION("GOOGLEFINANCE(A8,""PRICE"")"),1225.2)</f>
        <v>1225.2</v>
      </c>
      <c r="E8" s="52">
        <f t="shared" ref="E8:F8" si="10">B8*C8</f>
        <v>615294.4</v>
      </c>
      <c r="F8" s="48">
        <f t="shared" si="10"/>
        <v>1372224</v>
      </c>
      <c r="G8" s="48">
        <f>IFERROR(__xludf.DUMMYFUNCTION("GOOGLEFINANCE(A8,""changepct"")"),1.55)</f>
        <v>1.55</v>
      </c>
      <c r="H8" s="49">
        <f t="shared" si="3"/>
        <v>1.230190946</v>
      </c>
      <c r="I8" s="49">
        <f t="shared" si="4"/>
        <v>0.0776843415</v>
      </c>
      <c r="J8" s="48">
        <f t="shared" si="5"/>
        <v>756929.6</v>
      </c>
    </row>
    <row r="9" ht="22.5" customHeight="1">
      <c r="A9" s="54" t="s">
        <v>91</v>
      </c>
      <c r="B9" s="55">
        <v>807.7733333</v>
      </c>
      <c r="C9" s="55">
        <v>450.0</v>
      </c>
      <c r="D9" s="51">
        <f>IFERROR(__xludf.DUMMYFUNCTION("GOOGLEFINANCE(A9,""PRICE"")"),826.0)</f>
        <v>826</v>
      </c>
      <c r="E9" s="52">
        <f t="shared" ref="E9:F9" si="11">B9*C9</f>
        <v>363498</v>
      </c>
      <c r="F9" s="48">
        <f t="shared" si="11"/>
        <v>371700</v>
      </c>
      <c r="G9" s="48">
        <f>IFERROR(__xludf.DUMMYFUNCTION("GOOGLEFINANCE(A9,""changepct"")"),-3.34)</f>
        <v>-3.34</v>
      </c>
      <c r="H9" s="49">
        <f t="shared" si="3"/>
        <v>0.02256408568</v>
      </c>
      <c r="I9" s="49">
        <f t="shared" si="4"/>
        <v>0.02104267943</v>
      </c>
      <c r="J9" s="48">
        <f t="shared" si="5"/>
        <v>8202.000015</v>
      </c>
    </row>
    <row r="10" ht="22.5" customHeight="1">
      <c r="A10" s="54" t="s">
        <v>97</v>
      </c>
      <c r="B10" s="55">
        <v>1217.74736</v>
      </c>
      <c r="C10" s="55">
        <v>475.0</v>
      </c>
      <c r="D10" s="51">
        <f>IFERROR(__xludf.DUMMYFUNCTION("GOOGLEFINANCE(A10,""PRICE"")"),1221.0)</f>
        <v>1221</v>
      </c>
      <c r="E10" s="52">
        <f t="shared" ref="E10:F10" si="12">B10*C10</f>
        <v>578429.996</v>
      </c>
      <c r="F10" s="48">
        <f t="shared" si="12"/>
        <v>579975</v>
      </c>
      <c r="G10" s="48">
        <f>IFERROR(__xludf.DUMMYFUNCTION("GOOGLEFINANCE(A10,""changepct"")"),-3.53)</f>
        <v>-3.53</v>
      </c>
      <c r="H10" s="49">
        <f t="shared" si="3"/>
        <v>0.002671030221</v>
      </c>
      <c r="I10" s="49">
        <f t="shared" si="4"/>
        <v>0.03283354318</v>
      </c>
      <c r="J10" s="48">
        <f t="shared" si="5"/>
        <v>1545.004</v>
      </c>
    </row>
    <row r="11" ht="22.5" customHeight="1">
      <c r="A11" s="54" t="s">
        <v>93</v>
      </c>
      <c r="B11" s="55">
        <v>192.0</v>
      </c>
      <c r="C11" s="55">
        <v>1000.0</v>
      </c>
      <c r="D11" s="51">
        <f>IFERROR(__xludf.DUMMYFUNCTION("GOOGLEFINANCE(A11,""PRICE"")"),362.3)</f>
        <v>362.3</v>
      </c>
      <c r="E11" s="52">
        <f t="shared" ref="E11:F11" si="13">B11*C11</f>
        <v>192000</v>
      </c>
      <c r="F11" s="48">
        <f t="shared" si="13"/>
        <v>362300</v>
      </c>
      <c r="G11" s="48">
        <f>IFERROR(__xludf.DUMMYFUNCTION("GOOGLEFINANCE(A11,""changepct"")"),-1.82)</f>
        <v>-1.82</v>
      </c>
      <c r="H11" s="49">
        <f t="shared" si="3"/>
        <v>0.8869791667</v>
      </c>
      <c r="I11" s="49">
        <f t="shared" si="4"/>
        <v>0.02051052665</v>
      </c>
      <c r="J11" s="48">
        <f t="shared" si="5"/>
        <v>170300</v>
      </c>
    </row>
    <row r="12" ht="22.5" customHeight="1">
      <c r="A12" s="54" t="s">
        <v>98</v>
      </c>
      <c r="B12" s="50">
        <v>1902.0</v>
      </c>
      <c r="C12" s="50">
        <v>250.0</v>
      </c>
      <c r="D12" s="51">
        <f>IFERROR(__xludf.DUMMYFUNCTION("GOOGLEFINANCE(A12,""PRICE"")"),2142.5)</f>
        <v>2142.5</v>
      </c>
      <c r="E12" s="52">
        <f t="shared" ref="E12:F12" si="14">B12*C12</f>
        <v>475500</v>
      </c>
      <c r="F12" s="48">
        <f t="shared" si="14"/>
        <v>535625</v>
      </c>
      <c r="G12" s="48">
        <f>IFERROR(__xludf.DUMMYFUNCTION("GOOGLEFINANCE(A12,""changepct"")"),-1.66)</f>
        <v>-1.66</v>
      </c>
      <c r="H12" s="49">
        <f t="shared" si="3"/>
        <v>0.1264458465</v>
      </c>
      <c r="I12" s="49">
        <f t="shared" si="4"/>
        <v>0.0303228011</v>
      </c>
      <c r="J12" s="48">
        <f t="shared" si="5"/>
        <v>60125</v>
      </c>
    </row>
    <row r="13" ht="22.5" customHeight="1">
      <c r="A13" s="54" t="s">
        <v>102</v>
      </c>
      <c r="B13" s="55">
        <v>43.69</v>
      </c>
      <c r="C13" s="55">
        <v>13000.0</v>
      </c>
      <c r="D13" s="51">
        <f>IFERROR(__xludf.DUMMYFUNCTION("GOOGLEFINANCE(A13,""PRICE"")"),62.4)</f>
        <v>62.4</v>
      </c>
      <c r="E13" s="52">
        <f t="shared" ref="E13:F13" si="15">B13*C13</f>
        <v>567970</v>
      </c>
      <c r="F13" s="48">
        <f t="shared" si="15"/>
        <v>811200</v>
      </c>
      <c r="G13" s="48">
        <f>IFERROR(__xludf.DUMMYFUNCTION("GOOGLEFINANCE(A13,""changepct"")"),-0.43)</f>
        <v>-0.43</v>
      </c>
      <c r="H13" s="49">
        <f t="shared" si="3"/>
        <v>0.4282444495</v>
      </c>
      <c r="I13" s="49">
        <f t="shared" si="4"/>
        <v>0.04592365228</v>
      </c>
      <c r="J13" s="48">
        <f t="shared" si="5"/>
        <v>243230</v>
      </c>
    </row>
    <row r="14" ht="22.5" customHeight="1">
      <c r="A14" s="54" t="s">
        <v>100</v>
      </c>
      <c r="B14" s="55">
        <v>987.4142857</v>
      </c>
      <c r="C14" s="55">
        <v>350.0</v>
      </c>
      <c r="D14" s="51">
        <f>IFERROR(__xludf.DUMMYFUNCTION("GOOGLEFINANCE(A14,""PRICE"")"),1188.0)</f>
        <v>1188</v>
      </c>
      <c r="E14" s="52">
        <f t="shared" ref="E14:F14" si="16">B14*C14</f>
        <v>345595</v>
      </c>
      <c r="F14" s="48">
        <f t="shared" si="16"/>
        <v>415800</v>
      </c>
      <c r="G14" s="48">
        <f>IFERROR(__xludf.DUMMYFUNCTION("GOOGLEFINANCE(A14,""changepct"")"),-0.79)</f>
        <v>-0.79</v>
      </c>
      <c r="H14" s="49">
        <f t="shared" si="3"/>
        <v>0.2031424066</v>
      </c>
      <c r="I14" s="49">
        <f t="shared" si="4"/>
        <v>0.02353926851</v>
      </c>
      <c r="J14" s="48">
        <f t="shared" si="5"/>
        <v>70205.00001</v>
      </c>
    </row>
    <row r="15" ht="22.5" customHeight="1">
      <c r="A15" s="54" t="s">
        <v>159</v>
      </c>
      <c r="B15" s="55">
        <v>490.65</v>
      </c>
      <c r="C15" s="55">
        <v>2300.0</v>
      </c>
      <c r="D15" s="51">
        <f>IFERROR(__xludf.DUMMYFUNCTION("GOOGLEFINANCE(A15,""PRICE"")"),380.25)</f>
        <v>380.25</v>
      </c>
      <c r="E15" s="52">
        <f t="shared" ref="E15:F15" si="17">B15*C15</f>
        <v>1128495</v>
      </c>
      <c r="F15" s="48">
        <f t="shared" si="17"/>
        <v>874575</v>
      </c>
      <c r="G15" s="48">
        <f>IFERROR(__xludf.DUMMYFUNCTION("GOOGLEFINANCE(A15,""changepct"")"),1.25)</f>
        <v>1.25</v>
      </c>
      <c r="H15" s="49">
        <f t="shared" si="3"/>
        <v>-0.2250076429</v>
      </c>
      <c r="I15" s="49">
        <f t="shared" si="4"/>
        <v>0.04951143761</v>
      </c>
      <c r="J15" s="48">
        <f t="shared" si="5"/>
        <v>-253920</v>
      </c>
    </row>
    <row r="16" ht="22.5" customHeight="1">
      <c r="A16" s="54" t="s">
        <v>104</v>
      </c>
      <c r="B16" s="55">
        <v>122.0</v>
      </c>
      <c r="C16" s="55">
        <v>800.0</v>
      </c>
      <c r="D16" s="51">
        <f>IFERROR(__xludf.DUMMYFUNCTION("GOOGLEFINANCE(A16,""PRICE"")"),240.0)</f>
        <v>240</v>
      </c>
      <c r="E16" s="52">
        <f t="shared" ref="E16:F16" si="18">B16*C16</f>
        <v>97600</v>
      </c>
      <c r="F16" s="48">
        <f t="shared" si="18"/>
        <v>192000</v>
      </c>
      <c r="G16" s="48">
        <f>IFERROR(__xludf.DUMMYFUNCTION("GOOGLEFINANCE(A16,""changepct"")"),0.23)</f>
        <v>0.23</v>
      </c>
      <c r="H16" s="49">
        <f t="shared" si="3"/>
        <v>0.9672131148</v>
      </c>
      <c r="I16" s="49">
        <f t="shared" si="4"/>
        <v>0.0108695035</v>
      </c>
      <c r="J16" s="48">
        <f t="shared" si="5"/>
        <v>94400</v>
      </c>
    </row>
    <row r="17" ht="22.5" customHeight="1">
      <c r="A17" s="54" t="s">
        <v>106</v>
      </c>
      <c r="B17" s="55">
        <v>95.15</v>
      </c>
      <c r="C17" s="55">
        <v>2000.0</v>
      </c>
      <c r="D17" s="51">
        <f>IFERROR(__xludf.DUMMYFUNCTION("GOOGLEFINANCE(A17,""PRICE"")"),128.73)</f>
        <v>128.73</v>
      </c>
      <c r="E17" s="52">
        <f t="shared" ref="E17:F17" si="19">B17*C17</f>
        <v>190300</v>
      </c>
      <c r="F17" s="48">
        <f t="shared" si="19"/>
        <v>257460</v>
      </c>
      <c r="G17" s="48">
        <f>IFERROR(__xludf.DUMMYFUNCTION("GOOGLEFINANCE(A17,""changepct"")"),-0.16)</f>
        <v>-0.16</v>
      </c>
      <c r="H17" s="49">
        <f t="shared" si="3"/>
        <v>0.3529164477</v>
      </c>
      <c r="I17" s="49">
        <f t="shared" si="4"/>
        <v>0.01457532485</v>
      </c>
      <c r="J17" s="48">
        <f t="shared" si="5"/>
        <v>67160</v>
      </c>
    </row>
    <row r="18" ht="22.5" customHeight="1">
      <c r="A18" s="54" t="s">
        <v>108</v>
      </c>
      <c r="B18" s="55">
        <v>376.2319048</v>
      </c>
      <c r="C18" s="55">
        <v>2100.0</v>
      </c>
      <c r="D18" s="51">
        <f>IFERROR(__xludf.DUMMYFUNCTION("GOOGLEFINANCE(A18,""PRICE"")"),365.0)</f>
        <v>365</v>
      </c>
      <c r="E18" s="52">
        <f t="shared" ref="E18:F18" si="20">B18*C18</f>
        <v>790087.0001</v>
      </c>
      <c r="F18" s="48">
        <f t="shared" si="20"/>
        <v>766500</v>
      </c>
      <c r="G18" s="48">
        <f>IFERROR(__xludf.DUMMYFUNCTION("GOOGLEFINANCE(A18,""changepct"")"),2.26)</f>
        <v>2.26</v>
      </c>
      <c r="H18" s="49">
        <f t="shared" si="3"/>
        <v>-0.02985367444</v>
      </c>
      <c r="I18" s="49">
        <f t="shared" si="4"/>
        <v>0.043393096</v>
      </c>
      <c r="J18" s="48">
        <f t="shared" si="5"/>
        <v>-23587.00008</v>
      </c>
    </row>
    <row r="19" ht="22.5" customHeight="1">
      <c r="A19" s="54" t="s">
        <v>109</v>
      </c>
      <c r="B19" s="55">
        <v>1340.71</v>
      </c>
      <c r="C19" s="55">
        <v>440.0</v>
      </c>
      <c r="D19" s="51">
        <f>IFERROR(__xludf.DUMMYFUNCTION("GOOGLEFINANCE(A19,""PRICE"")"),1430.5)</f>
        <v>1430.5</v>
      </c>
      <c r="E19" s="52">
        <f t="shared" ref="E19:F19" si="21">B19*C19</f>
        <v>589912.4</v>
      </c>
      <c r="F19" s="48">
        <f t="shared" si="21"/>
        <v>629420</v>
      </c>
      <c r="G19" s="48">
        <f>IFERROR(__xludf.DUMMYFUNCTION("GOOGLEFINANCE(A19,""changepct"")"),-0.4)</f>
        <v>-0.4</v>
      </c>
      <c r="H19" s="49">
        <f t="shared" si="3"/>
        <v>0.06697197753</v>
      </c>
      <c r="I19" s="49">
        <f t="shared" si="4"/>
        <v>0.03563272339</v>
      </c>
      <c r="J19" s="48">
        <f t="shared" si="5"/>
        <v>39507.6</v>
      </c>
    </row>
    <row r="20" ht="22.5" customHeight="1">
      <c r="A20" s="54" t="s">
        <v>112</v>
      </c>
      <c r="B20" s="55">
        <f>9462.5/5</f>
        <v>1892.5</v>
      </c>
      <c r="C20" s="55">
        <f>120*5</f>
        <v>600</v>
      </c>
      <c r="D20" s="51">
        <f>IFERROR(__xludf.DUMMYFUNCTION("GOOGLEFINANCE(A20,""PRICE"")"),3098.0)</f>
        <v>3098</v>
      </c>
      <c r="E20" s="52">
        <f t="shared" ref="E20:F20" si="22">B20*C20</f>
        <v>1135500</v>
      </c>
      <c r="F20" s="48">
        <f t="shared" si="22"/>
        <v>1858800</v>
      </c>
      <c r="G20" s="48">
        <f>IFERROR(__xludf.DUMMYFUNCTION("GOOGLEFINANCE(A20,""changepct"")"),1.82)</f>
        <v>1.82</v>
      </c>
      <c r="H20" s="49">
        <f t="shared" si="3"/>
        <v>0.636988111</v>
      </c>
      <c r="I20" s="49">
        <f t="shared" si="4"/>
        <v>0.1052303807</v>
      </c>
      <c r="J20" s="48">
        <f t="shared" si="5"/>
        <v>723300</v>
      </c>
    </row>
    <row r="21" ht="22.5" customHeight="1">
      <c r="A21" s="3" t="s">
        <v>114</v>
      </c>
      <c r="B21" s="55">
        <v>1740.0</v>
      </c>
      <c r="C21" s="55">
        <v>200.0</v>
      </c>
      <c r="D21" s="51">
        <f>IFERROR(__xludf.DUMMYFUNCTION("GOOGLEFINANCE(A21,""PRICE"")"),2745.1)</f>
        <v>2745.1</v>
      </c>
      <c r="E21" s="52">
        <f t="shared" ref="E21:F21" si="23">B21*C21</f>
        <v>348000</v>
      </c>
      <c r="F21" s="48">
        <f t="shared" si="23"/>
        <v>549020</v>
      </c>
      <c r="G21" s="48">
        <f>IFERROR(__xludf.DUMMYFUNCTION("GOOGLEFINANCE(A21,""changepct"")"),0.71)</f>
        <v>0.71</v>
      </c>
      <c r="H21" s="49">
        <f t="shared" si="3"/>
        <v>0.5776436782</v>
      </c>
      <c r="I21" s="49">
        <f t="shared" si="4"/>
        <v>0.0310811188</v>
      </c>
      <c r="J21" s="48">
        <f t="shared" si="5"/>
        <v>201020</v>
      </c>
    </row>
    <row r="22" ht="22.5" customHeight="1">
      <c r="A22" s="3" t="s">
        <v>117</v>
      </c>
      <c r="B22" s="55">
        <v>1701.71</v>
      </c>
      <c r="C22" s="55">
        <v>188.0</v>
      </c>
      <c r="D22" s="51">
        <f>IFERROR(__xludf.DUMMYFUNCTION("GOOGLEFINANCE(A22,""PRICE"")"),2521.8)</f>
        <v>2521.8</v>
      </c>
      <c r="E22" s="52">
        <f t="shared" ref="E22:F22" si="24">B22*C22</f>
        <v>319921.48</v>
      </c>
      <c r="F22" s="48">
        <f t="shared" si="24"/>
        <v>474098.4</v>
      </c>
      <c r="G22" s="48">
        <f>IFERROR(__xludf.DUMMYFUNCTION("GOOGLEFINANCE(A22,""changepct"")"),-1.03)</f>
        <v>-1.03</v>
      </c>
      <c r="H22" s="49">
        <f t="shared" si="3"/>
        <v>0.4819211264</v>
      </c>
      <c r="I22" s="49">
        <f t="shared" si="4"/>
        <v>0.02683965738</v>
      </c>
      <c r="J22" s="48">
        <f t="shared" si="5"/>
        <v>154176.92</v>
      </c>
    </row>
    <row r="23" ht="22.5" customHeight="1">
      <c r="A23" s="3" t="s">
        <v>116</v>
      </c>
      <c r="B23" s="55">
        <v>783.33</v>
      </c>
      <c r="C23" s="55">
        <v>600.0</v>
      </c>
      <c r="D23" s="51">
        <f>IFERROR(__xludf.DUMMYFUNCTION("GOOGLEFINANCE(A23,""PRICE"")"),767.0)</f>
        <v>767</v>
      </c>
      <c r="E23" s="52">
        <f t="shared" ref="E23:F23" si="25">B23*C23</f>
        <v>469998</v>
      </c>
      <c r="F23" s="48">
        <f t="shared" si="25"/>
        <v>460200</v>
      </c>
      <c r="G23" s="48">
        <f>IFERROR(__xludf.DUMMYFUNCTION("GOOGLEFINANCE(A23,""changepct"")"),-1.37)</f>
        <v>-1.37</v>
      </c>
      <c r="H23" s="49">
        <f t="shared" si="3"/>
        <v>-0.02084689722</v>
      </c>
      <c r="I23" s="49">
        <f t="shared" si="4"/>
        <v>0.0260528412</v>
      </c>
      <c r="J23" s="48">
        <f t="shared" si="5"/>
        <v>-9798</v>
      </c>
    </row>
    <row r="24" ht="22.5" customHeight="1">
      <c r="A24" s="3" t="s">
        <v>160</v>
      </c>
      <c r="B24" s="55">
        <v>4395.0</v>
      </c>
      <c r="C24" s="55">
        <v>150.0</v>
      </c>
      <c r="D24" s="51">
        <f>IFERROR(__xludf.DUMMYFUNCTION("GOOGLEFINANCE(A24,""PRICE"")"),3807.0)</f>
        <v>3807</v>
      </c>
      <c r="E24" s="52">
        <f t="shared" ref="E24:F24" si="26">B24*C24</f>
        <v>659250</v>
      </c>
      <c r="F24" s="48">
        <f t="shared" si="26"/>
        <v>571050</v>
      </c>
      <c r="G24" s="48">
        <f>IFERROR(__xludf.DUMMYFUNCTION("GOOGLEFINANCE(A24,""changepct"")"),-2.09)</f>
        <v>-2.09</v>
      </c>
      <c r="H24" s="49">
        <f t="shared" si="3"/>
        <v>-0.1337883959</v>
      </c>
      <c r="I24" s="49">
        <f t="shared" si="4"/>
        <v>0.03232828111</v>
      </c>
      <c r="J24" s="48">
        <f t="shared" si="5"/>
        <v>-88200</v>
      </c>
    </row>
    <row r="25" ht="22.5" customHeight="1">
      <c r="A25" s="3" t="s">
        <v>119</v>
      </c>
      <c r="B25" s="55">
        <v>535.795</v>
      </c>
      <c r="C25" s="55">
        <v>600.0</v>
      </c>
      <c r="D25" s="51">
        <f>IFERROR(__xludf.DUMMYFUNCTION("GOOGLEFINANCE(A25,""PRICE"")"),579.65)</f>
        <v>579.65</v>
      </c>
      <c r="E25" s="52">
        <f t="shared" ref="E25:F25" si="27">B25*C25</f>
        <v>321477</v>
      </c>
      <c r="F25" s="48">
        <f t="shared" si="27"/>
        <v>347790</v>
      </c>
      <c r="G25" s="48">
        <f>IFERROR(__xludf.DUMMYFUNCTION("GOOGLEFINANCE(A25,""changepct"")"),0.17)</f>
        <v>0.17</v>
      </c>
      <c r="H25" s="49">
        <f t="shared" si="3"/>
        <v>0.08185033455</v>
      </c>
      <c r="I25" s="49">
        <f t="shared" si="4"/>
        <v>0.01968908657</v>
      </c>
      <c r="J25" s="48">
        <f t="shared" si="5"/>
        <v>26313</v>
      </c>
    </row>
    <row r="26" ht="22.5" customHeight="1">
      <c r="A26" s="3" t="s">
        <v>121</v>
      </c>
      <c r="B26" s="55">
        <v>115.6</v>
      </c>
      <c r="C26" s="55">
        <v>3000.0</v>
      </c>
      <c r="D26" s="51">
        <f>IFERROR(__xludf.DUMMYFUNCTION("GOOGLEFINANCE(A26,""PRICE"")"),141.1)</f>
        <v>141.1</v>
      </c>
      <c r="E26" s="52">
        <f t="shared" ref="E26:F26" si="28">B26*C26</f>
        <v>346800</v>
      </c>
      <c r="F26" s="48">
        <f t="shared" si="28"/>
        <v>423300</v>
      </c>
      <c r="G26" s="48" t="str">
        <f>IFERROR(__xludf.DUMMYFUNCTION("GOOGLEFINANCE(A31,""changepct"")"),"#N/A")</f>
        <v>#N/A</v>
      </c>
      <c r="H26" s="49">
        <f t="shared" si="3"/>
        <v>0.2205882353</v>
      </c>
      <c r="I26" s="49">
        <f t="shared" si="4"/>
        <v>0.02396385849</v>
      </c>
      <c r="J26" s="48">
        <f t="shared" si="5"/>
        <v>76500</v>
      </c>
    </row>
    <row r="28">
      <c r="A28" s="56"/>
      <c r="E28" s="20">
        <f t="shared" ref="E28:F28" si="29">SUM(E2:E26)</f>
        <v>12741807.51</v>
      </c>
      <c r="F28" s="20">
        <f t="shared" si="29"/>
        <v>17664100.3</v>
      </c>
    </row>
    <row r="29">
      <c r="A29" s="56"/>
    </row>
    <row r="30">
      <c r="A30" s="56"/>
    </row>
    <row r="31">
      <c r="A31" s="57"/>
      <c r="C31" s="58">
        <v>44998.0</v>
      </c>
      <c r="D31" s="59" t="s">
        <v>161</v>
      </c>
      <c r="E31" s="60"/>
      <c r="F31" s="60"/>
      <c r="K31" s="20">
        <f>+K7+K8</f>
        <v>0</v>
      </c>
    </row>
    <row r="32">
      <c r="B32" s="20">
        <f>A32/350</f>
        <v>0</v>
      </c>
      <c r="C32" s="59" t="s">
        <v>162</v>
      </c>
      <c r="D32" s="60"/>
      <c r="E32" s="60"/>
      <c r="F32" s="60"/>
    </row>
    <row r="33">
      <c r="C33" s="60"/>
      <c r="D33" s="59" t="s">
        <v>163</v>
      </c>
      <c r="E33" s="59">
        <v>916134.0</v>
      </c>
      <c r="F33" s="59" t="s">
        <v>164</v>
      </c>
      <c r="J33" s="8">
        <v>868.0</v>
      </c>
    </row>
    <row r="34">
      <c r="C34" s="60"/>
      <c r="D34" s="59" t="s">
        <v>165</v>
      </c>
      <c r="E34" s="59">
        <v>401485.0</v>
      </c>
      <c r="F34" s="59" t="s">
        <v>166</v>
      </c>
    </row>
    <row r="35">
      <c r="C35" s="60"/>
      <c r="D35" s="59" t="s">
        <v>167</v>
      </c>
      <c r="E35" s="59">
        <v>285045.0</v>
      </c>
      <c r="F35" s="59" t="s">
        <v>168</v>
      </c>
    </row>
    <row r="36">
      <c r="C36" s="60"/>
      <c r="D36" s="59" t="s">
        <v>169</v>
      </c>
      <c r="E36" s="59">
        <f>964737-570000</f>
        <v>394737</v>
      </c>
      <c r="F36" s="59" t="s">
        <v>170</v>
      </c>
    </row>
    <row r="38">
      <c r="C38" s="61">
        <v>45068.0</v>
      </c>
      <c r="D38" s="8" t="s">
        <v>171</v>
      </c>
      <c r="E38" s="59">
        <v>195899.0</v>
      </c>
      <c r="F38" s="8" t="s">
        <v>172</v>
      </c>
      <c r="I38" s="8" t="s">
        <v>173</v>
      </c>
    </row>
    <row r="40">
      <c r="E40" s="60">
        <f>E33+E34+E35+E36+E38</f>
        <v>2193300</v>
      </c>
      <c r="F40" s="59" t="s">
        <v>174</v>
      </c>
    </row>
    <row r="41">
      <c r="D41" s="8" t="s">
        <v>175</v>
      </c>
    </row>
    <row r="43">
      <c r="D43" s="59" t="s">
        <v>176</v>
      </c>
    </row>
    <row r="44">
      <c r="D44" s="59" t="s">
        <v>177</v>
      </c>
      <c r="E44" s="59">
        <v>180000.0</v>
      </c>
      <c r="F44" s="8" t="s">
        <v>178</v>
      </c>
    </row>
    <row r="45">
      <c r="D45" s="59" t="s">
        <v>179</v>
      </c>
      <c r="E45" s="59">
        <v>191275.0</v>
      </c>
      <c r="F45" s="8" t="s">
        <v>180</v>
      </c>
    </row>
    <row r="46">
      <c r="D46" s="59" t="s">
        <v>181</v>
      </c>
      <c r="E46" s="59">
        <v>122325.0</v>
      </c>
      <c r="F46" s="8" t="s">
        <v>182</v>
      </c>
    </row>
    <row r="47">
      <c r="D47" s="8" t="s">
        <v>183</v>
      </c>
      <c r="E47" s="8">
        <v>343877.0</v>
      </c>
      <c r="F47" s="8" t="s">
        <v>184</v>
      </c>
    </row>
    <row r="48">
      <c r="D48" s="8" t="s">
        <v>185</v>
      </c>
      <c r="E48" s="8">
        <v>840000.0</v>
      </c>
      <c r="F48" s="8" t="s">
        <v>186</v>
      </c>
    </row>
    <row r="49">
      <c r="D49" s="8" t="s">
        <v>187</v>
      </c>
      <c r="E49" s="8">
        <v>600000.0</v>
      </c>
      <c r="F49" s="8" t="s">
        <v>188</v>
      </c>
    </row>
    <row r="50">
      <c r="C50" s="8" t="s">
        <v>189</v>
      </c>
    </row>
    <row r="51">
      <c r="D51" s="8" t="s">
        <v>190</v>
      </c>
      <c r="E51" s="8">
        <v>273620.0</v>
      </c>
      <c r="F51" s="8" t="s">
        <v>191</v>
      </c>
    </row>
    <row r="52">
      <c r="D52" s="8" t="s">
        <v>192</v>
      </c>
      <c r="E52" s="8">
        <v>651603.0</v>
      </c>
      <c r="F52" s="8" t="s">
        <v>193</v>
      </c>
    </row>
    <row r="54">
      <c r="C54" s="8" t="s">
        <v>194</v>
      </c>
    </row>
    <row r="55">
      <c r="D55" s="8" t="s">
        <v>195</v>
      </c>
      <c r="E55" s="8">
        <v>467252.0</v>
      </c>
      <c r="F55" s="8" t="s">
        <v>196</v>
      </c>
    </row>
    <row r="56">
      <c r="D56" s="8" t="s">
        <v>197</v>
      </c>
      <c r="E56" s="8">
        <v>231022.0</v>
      </c>
      <c r="F56" s="8" t="s">
        <v>198</v>
      </c>
    </row>
  </sheetData>
  <dataValidations>
    <dataValidation type="custom" allowBlank="1" showDropDown="1" sqref="B2:J26">
      <formula1>AND(ISNUMBER(B2),(NOT(OR(NOT(ISERROR(DATEVALUE(B2))), AND(ISNUMBER(B2), LEFT(CELL("format", B2))="D")))))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21.13"/>
    <col customWidth="1" min="3" max="3" width="24.25"/>
    <col customWidth="1" min="4" max="4" width="14.75"/>
    <col customWidth="1" min="6" max="6" width="17.0"/>
    <col customWidth="1" min="7" max="7" width="18.5"/>
    <col customWidth="1" min="8" max="8" width="18.75"/>
    <col customWidth="1" min="9" max="9" width="20.13"/>
    <col customWidth="1" min="10" max="10" width="16.25"/>
  </cols>
  <sheetData>
    <row r="1" ht="22.5" customHeight="1">
      <c r="A1" s="45" t="s">
        <v>199</v>
      </c>
      <c r="B1" s="45" t="s">
        <v>79</v>
      </c>
      <c r="C1" s="45" t="s">
        <v>80</v>
      </c>
      <c r="D1" s="45" t="s">
        <v>81</v>
      </c>
      <c r="E1" s="45" t="s">
        <v>2</v>
      </c>
      <c r="F1" s="45" t="s">
        <v>82</v>
      </c>
      <c r="G1" s="45" t="s">
        <v>30</v>
      </c>
      <c r="H1" s="45" t="s">
        <v>83</v>
      </c>
      <c r="I1" s="45" t="s">
        <v>84</v>
      </c>
      <c r="J1" s="45" t="s">
        <v>3</v>
      </c>
      <c r="K1" s="62" t="s">
        <v>157</v>
      </c>
    </row>
    <row r="2" ht="22.5" customHeight="1">
      <c r="A2" s="3" t="s">
        <v>85</v>
      </c>
      <c r="B2" s="3" t="s">
        <v>86</v>
      </c>
      <c r="C2" s="50">
        <v>1377.5</v>
      </c>
      <c r="D2" s="50">
        <v>80.0</v>
      </c>
      <c r="E2" s="63">
        <f>IFERROR(__xludf.DUMMYFUNCTION("GOOGLEFINANCE(B2,""PRICE"")"),17750.0)</f>
        <v>17750</v>
      </c>
      <c r="F2" s="48">
        <f t="shared" ref="F2:G2" si="1">C2*D2</f>
        <v>110200</v>
      </c>
      <c r="G2" s="48">
        <f t="shared" si="1"/>
        <v>1420000</v>
      </c>
      <c r="H2" s="48">
        <f>IFERROR(__xludf.DUMMYFUNCTION("GOOGLEFINANCE(B2,""changepct"")"),2.69)</f>
        <v>2.69</v>
      </c>
      <c r="I2" s="49">
        <f t="shared" ref="I2:I24" si="3">(E2-C2)/C2</f>
        <v>11.88566243</v>
      </c>
      <c r="J2" s="49">
        <f t="shared" ref="J2:J24" si="4">G2/G$27</f>
        <v>0.08706012606</v>
      </c>
      <c r="K2" s="64"/>
    </row>
    <row r="3" ht="22.5" customHeight="1">
      <c r="A3" s="3" t="s">
        <v>87</v>
      </c>
      <c r="B3" s="3" t="s">
        <v>15</v>
      </c>
      <c r="C3" s="3">
        <v>724.7677953</v>
      </c>
      <c r="D3" s="3">
        <v>596.0</v>
      </c>
      <c r="E3" s="63">
        <f>IFERROR(__xludf.DUMMYFUNCTION("GOOGLEFINANCE(B3,""PRICE"")"),1820.0)</f>
        <v>1820</v>
      </c>
      <c r="F3" s="52">
        <f t="shared" ref="F3:G3" si="2">C3*D3</f>
        <v>431961.606</v>
      </c>
      <c r="G3" s="48">
        <f t="shared" si="2"/>
        <v>1084720</v>
      </c>
      <c r="H3" s="65">
        <f>IFERROR(__xludf.DUMMYFUNCTION("GOOGLEFINANCE(B3,""changepct"")"),-1.95)</f>
        <v>-1.95</v>
      </c>
      <c r="I3" s="49">
        <f t="shared" si="3"/>
        <v>1.511149104</v>
      </c>
      <c r="J3" s="49">
        <f t="shared" si="4"/>
        <v>0.06650412672</v>
      </c>
      <c r="K3" s="64"/>
    </row>
    <row r="4" ht="22.5" customHeight="1">
      <c r="A4" s="3" t="s">
        <v>200</v>
      </c>
      <c r="B4" s="3" t="s">
        <v>13</v>
      </c>
      <c r="C4" s="50">
        <v>185.48</v>
      </c>
      <c r="D4" s="50">
        <v>2616.0</v>
      </c>
      <c r="E4" s="63">
        <f>IFERROR(__xludf.DUMMYFUNCTION("GOOGLEFINANCE(B4,""PRICE"")"),158.58)</f>
        <v>158.58</v>
      </c>
      <c r="F4" s="52">
        <f t="shared" ref="F4:G4" si="5">C4*D4</f>
        <v>485215.68</v>
      </c>
      <c r="G4" s="48">
        <f t="shared" si="5"/>
        <v>414845.28</v>
      </c>
      <c r="H4" s="65">
        <f>IFERROR(__xludf.DUMMYFUNCTION("GOOGLEFINANCE(B4,""changepct"")"),0.14)</f>
        <v>0.14</v>
      </c>
      <c r="I4" s="49">
        <f t="shared" si="3"/>
        <v>-0.1450291137</v>
      </c>
      <c r="J4" s="49">
        <f t="shared" si="4"/>
        <v>0.02543414252</v>
      </c>
      <c r="K4" s="64"/>
    </row>
    <row r="5" ht="22.5" customHeight="1">
      <c r="A5" s="3" t="s">
        <v>201</v>
      </c>
      <c r="B5" s="3" t="s">
        <v>89</v>
      </c>
      <c r="C5" s="50">
        <v>135.7407408</v>
      </c>
      <c r="D5" s="50">
        <v>5400.0</v>
      </c>
      <c r="E5" s="66">
        <f>IFERROR(__xludf.DUMMYFUNCTION("GOOGLEFINANCE(B5,""PRICE"")"),145.37)</f>
        <v>145.37</v>
      </c>
      <c r="F5" s="52">
        <f t="shared" ref="F5:G5" si="6">C5*D5</f>
        <v>733000.0003</v>
      </c>
      <c r="G5" s="48">
        <f t="shared" si="6"/>
        <v>784998</v>
      </c>
      <c r="H5" s="48">
        <f>IFERROR(__xludf.DUMMYFUNCTION("GOOGLEFINANCE(B5,""changepct"")"),1.76)</f>
        <v>1.76</v>
      </c>
      <c r="I5" s="49">
        <f t="shared" si="3"/>
        <v>0.07093860799</v>
      </c>
      <c r="J5" s="49">
        <f t="shared" si="4"/>
        <v>0.04812818651</v>
      </c>
      <c r="K5" s="64"/>
    </row>
    <row r="6" ht="22.5" customHeight="1">
      <c r="A6" s="3" t="s">
        <v>92</v>
      </c>
      <c r="B6" s="3" t="s">
        <v>93</v>
      </c>
      <c r="C6" s="50">
        <v>200.8333333</v>
      </c>
      <c r="D6" s="50">
        <v>3000.0</v>
      </c>
      <c r="E6" s="66">
        <f>IFERROR(__xludf.DUMMYFUNCTION("GOOGLEFINANCE(B6,""PRICE"")"),362.3)</f>
        <v>362.3</v>
      </c>
      <c r="F6" s="52">
        <f t="shared" ref="F6:G6" si="7">C6*D6</f>
        <v>602499.9999</v>
      </c>
      <c r="G6" s="48">
        <f t="shared" si="7"/>
        <v>1086900</v>
      </c>
      <c r="H6" s="48">
        <f>IFERROR(__xludf.DUMMYFUNCTION("GOOGLEFINANCE(B6,""changepct"")"),-1.82)</f>
        <v>-1.82</v>
      </c>
      <c r="I6" s="49">
        <f t="shared" si="3"/>
        <v>0.8039834028</v>
      </c>
      <c r="J6" s="49">
        <f t="shared" si="4"/>
        <v>0.06663778241</v>
      </c>
      <c r="K6" s="64"/>
    </row>
    <row r="7" ht="22.5" customHeight="1">
      <c r="A7" s="3" t="s">
        <v>94</v>
      </c>
      <c r="B7" s="3" t="s">
        <v>17</v>
      </c>
      <c r="C7" s="50">
        <v>414.98</v>
      </c>
      <c r="D7" s="50">
        <v>2550.0</v>
      </c>
      <c r="E7" s="67">
        <f>IFERROR(__xludf.DUMMYFUNCTION("GOOGLEFINANCE(B7,""PRICE"")"),1227.9)</f>
        <v>1227.9</v>
      </c>
      <c r="F7" s="52">
        <f t="shared" ref="F7:G7" si="8">C7*D7</f>
        <v>1058199</v>
      </c>
      <c r="G7" s="48">
        <f t="shared" si="8"/>
        <v>3131145</v>
      </c>
      <c r="H7" s="48">
        <f>IFERROR(__xludf.DUMMYFUNCTION("GOOGLEFINANCE(B7,""changepct"")"),-1.4)</f>
        <v>-1.4</v>
      </c>
      <c r="I7" s="48">
        <f t="shared" si="3"/>
        <v>1.95893778</v>
      </c>
      <c r="J7" s="48">
        <f t="shared" si="4"/>
        <v>0.1919703369</v>
      </c>
      <c r="K7" s="64"/>
    </row>
    <row r="8" ht="22.5" customHeight="1">
      <c r="A8" s="3" t="s">
        <v>61</v>
      </c>
      <c r="B8" s="3" t="s">
        <v>90</v>
      </c>
      <c r="C8" s="50">
        <v>609.125</v>
      </c>
      <c r="D8" s="50">
        <v>800.0</v>
      </c>
      <c r="E8" s="67">
        <f>IFERROR(__xludf.DUMMYFUNCTION("GOOGLEFINANCE(B8,""PRICE"")"),522.5)</f>
        <v>522.5</v>
      </c>
      <c r="F8" s="52">
        <f t="shared" ref="F8:G8" si="9">C8*D8</f>
        <v>487300</v>
      </c>
      <c r="G8" s="48">
        <f t="shared" si="9"/>
        <v>418000</v>
      </c>
      <c r="H8" s="48">
        <f>IFERROR(__xludf.DUMMYFUNCTION("GOOGLEFINANCE(B8,""changepct"")"),1.49)</f>
        <v>1.49</v>
      </c>
      <c r="I8" s="48">
        <f t="shared" si="3"/>
        <v>-0.1422121896</v>
      </c>
      <c r="J8" s="48">
        <f t="shared" si="4"/>
        <v>0.02562755823</v>
      </c>
      <c r="K8" s="64"/>
    </row>
    <row r="9" ht="22.5" customHeight="1">
      <c r="A9" s="3" t="s">
        <v>202</v>
      </c>
      <c r="B9" s="3" t="s">
        <v>95</v>
      </c>
      <c r="C9" s="50">
        <v>560.0</v>
      </c>
      <c r="D9" s="50">
        <v>550.0</v>
      </c>
      <c r="E9" s="67">
        <f>IFERROR(__xludf.DUMMYFUNCTION("GOOGLEFINANCE(B9,""PRICE"")"),1225.2)</f>
        <v>1225.2</v>
      </c>
      <c r="F9" s="52">
        <f t="shared" ref="F9:G9" si="10">C9*D9</f>
        <v>308000</v>
      </c>
      <c r="G9" s="48">
        <f t="shared" si="10"/>
        <v>673860</v>
      </c>
      <c r="H9" s="48">
        <f>IFERROR(__xludf.DUMMYFUNCTION("GOOGLEFINANCE(B9,""changepct"")"),1.55)</f>
        <v>1.55</v>
      </c>
      <c r="I9" s="48">
        <f t="shared" si="3"/>
        <v>1.187857143</v>
      </c>
      <c r="J9" s="48">
        <f t="shared" si="4"/>
        <v>0.04131432151</v>
      </c>
      <c r="K9" s="64"/>
    </row>
    <row r="10" ht="22.5" customHeight="1">
      <c r="A10" s="54" t="s">
        <v>97</v>
      </c>
      <c r="B10" s="54" t="s">
        <v>97</v>
      </c>
      <c r="C10" s="55">
        <v>1203.87</v>
      </c>
      <c r="D10" s="55">
        <v>546.0</v>
      </c>
      <c r="E10" s="67">
        <f>IFERROR(__xludf.DUMMYFUNCTION("GOOGLEFINANCE(B10,""PRICE"")"),1221.0)</f>
        <v>1221</v>
      </c>
      <c r="F10" s="52">
        <f t="shared" ref="F10:G10" si="11">C10*D10</f>
        <v>657313.02</v>
      </c>
      <c r="G10" s="48">
        <f t="shared" si="11"/>
        <v>666666</v>
      </c>
      <c r="H10" s="48">
        <f>IFERROR(__xludf.DUMMYFUNCTION("GOOGLEFINANCE(B10,""changepct"")"),-3.53)</f>
        <v>-3.53</v>
      </c>
      <c r="I10" s="48">
        <f t="shared" si="3"/>
        <v>0.01422911112</v>
      </c>
      <c r="J10" s="48">
        <f t="shared" si="4"/>
        <v>0.04087325775</v>
      </c>
      <c r="K10" s="64"/>
    </row>
    <row r="11" ht="22.5" customHeight="1">
      <c r="A11" s="54" t="s">
        <v>98</v>
      </c>
      <c r="B11" s="54" t="s">
        <v>98</v>
      </c>
      <c r="C11" s="55">
        <v>1845.0</v>
      </c>
      <c r="D11" s="55">
        <v>200.0</v>
      </c>
      <c r="E11" s="67">
        <f>IFERROR(__xludf.DUMMYFUNCTION("GOOGLEFINANCE(B11,""PRICE"")"),2142.5)</f>
        <v>2142.5</v>
      </c>
      <c r="F11" s="52">
        <f t="shared" ref="F11:G11" si="12">C11*D11</f>
        <v>369000</v>
      </c>
      <c r="G11" s="48">
        <f t="shared" si="12"/>
        <v>428500</v>
      </c>
      <c r="H11" s="48">
        <f>IFERROR(__xludf.DUMMYFUNCTION("GOOGLEFINANCE(B11,""changepct"")"),-1.66)</f>
        <v>-1.66</v>
      </c>
      <c r="I11" s="48">
        <f t="shared" si="3"/>
        <v>0.1612466125</v>
      </c>
      <c r="J11" s="48">
        <f t="shared" si="4"/>
        <v>0.02627131269</v>
      </c>
      <c r="K11" s="64"/>
    </row>
    <row r="12" ht="22.5" customHeight="1">
      <c r="A12" s="54" t="s">
        <v>100</v>
      </c>
      <c r="B12" s="54" t="s">
        <v>100</v>
      </c>
      <c r="C12" s="55">
        <v>961.7216667</v>
      </c>
      <c r="D12" s="55">
        <v>250.0</v>
      </c>
      <c r="E12" s="67">
        <f>IFERROR(__xludf.DUMMYFUNCTION("GOOGLEFINANCE(B12,""PRICE"")"),1188.0)</f>
        <v>1188</v>
      </c>
      <c r="F12" s="52">
        <f t="shared" ref="F12:G12" si="13">C12*D12</f>
        <v>240430.4167</v>
      </c>
      <c r="G12" s="48">
        <f t="shared" si="13"/>
        <v>297000</v>
      </c>
      <c r="H12" s="48">
        <f>IFERROR(__xludf.DUMMYFUNCTION("GOOGLEFINANCE(B12,""changepct"")"),-0.79)</f>
        <v>-0.79</v>
      </c>
      <c r="I12" s="48">
        <f t="shared" si="3"/>
        <v>0.2352846371</v>
      </c>
      <c r="J12" s="48">
        <f t="shared" si="4"/>
        <v>0.01820905454</v>
      </c>
      <c r="K12" s="64"/>
    </row>
    <row r="13" ht="22.5" customHeight="1">
      <c r="A13" s="54" t="s">
        <v>203</v>
      </c>
      <c r="B13" s="54" t="s">
        <v>102</v>
      </c>
      <c r="C13" s="55">
        <v>43.77</v>
      </c>
      <c r="D13" s="55">
        <v>13000.0</v>
      </c>
      <c r="E13" s="67">
        <f>IFERROR(__xludf.DUMMYFUNCTION("GOOGLEFINANCE(B13,""PRICE"")"),62.4)</f>
        <v>62.4</v>
      </c>
      <c r="F13" s="52">
        <f t="shared" ref="F13:G13" si="14">C13*D13</f>
        <v>569010</v>
      </c>
      <c r="G13" s="48">
        <f t="shared" si="14"/>
        <v>811200</v>
      </c>
      <c r="H13" s="48">
        <f>IFERROR(__xludf.DUMMYFUNCTION("GOOGLEFINANCE(B13,""changepct"")"),-0.43)</f>
        <v>-0.43</v>
      </c>
      <c r="I13" s="48">
        <f t="shared" si="3"/>
        <v>0.4256339959</v>
      </c>
      <c r="J13" s="48">
        <f t="shared" si="4"/>
        <v>0.04973462976</v>
      </c>
      <c r="K13" s="64"/>
    </row>
    <row r="14" ht="22.5" customHeight="1">
      <c r="A14" s="54" t="s">
        <v>159</v>
      </c>
      <c r="B14" s="54" t="s">
        <v>159</v>
      </c>
      <c r="C14" s="55">
        <v>464.9571429</v>
      </c>
      <c r="D14" s="55">
        <v>1400.0</v>
      </c>
      <c r="E14" s="67">
        <f>IFERROR(__xludf.DUMMYFUNCTION("GOOGLEFINANCE(B14,""PRICE"")"),380.25)</f>
        <v>380.25</v>
      </c>
      <c r="F14" s="52">
        <f t="shared" ref="F14:G14" si="15">C14*D14</f>
        <v>650940.0001</v>
      </c>
      <c r="G14" s="48">
        <f t="shared" si="15"/>
        <v>532350</v>
      </c>
      <c r="H14" s="48">
        <f>IFERROR(__xludf.DUMMYFUNCTION("GOOGLEFINANCE(B14,""changepct"")"),1.25)</f>
        <v>1.25</v>
      </c>
      <c r="I14" s="48">
        <f t="shared" si="3"/>
        <v>-0.1821826897</v>
      </c>
      <c r="J14" s="48">
        <f t="shared" si="4"/>
        <v>0.03263835078</v>
      </c>
      <c r="K14" s="64"/>
    </row>
    <row r="15" ht="22.5" customHeight="1">
      <c r="A15" s="54" t="s">
        <v>104</v>
      </c>
      <c r="B15" s="54" t="s">
        <v>104</v>
      </c>
      <c r="C15" s="55">
        <v>122.0</v>
      </c>
      <c r="D15" s="55">
        <v>800.0</v>
      </c>
      <c r="E15" s="67">
        <f>IFERROR(__xludf.DUMMYFUNCTION("GOOGLEFINANCE(B15,""PRICE"")"),240.0)</f>
        <v>240</v>
      </c>
      <c r="F15" s="52">
        <f t="shared" ref="F15:G15" si="16">C15*D15</f>
        <v>97600</v>
      </c>
      <c r="G15" s="48">
        <f t="shared" si="16"/>
        <v>192000</v>
      </c>
      <c r="H15" s="48">
        <f>IFERROR(__xludf.DUMMYFUNCTION("GOOGLEFINANCE(B15,""changepct"")"),0.23)</f>
        <v>0.23</v>
      </c>
      <c r="I15" s="48">
        <f t="shared" si="3"/>
        <v>0.9672131148</v>
      </c>
      <c r="J15" s="48">
        <f t="shared" si="4"/>
        <v>0.01177151</v>
      </c>
      <c r="K15" s="64"/>
    </row>
    <row r="16" ht="22.5" customHeight="1">
      <c r="A16" s="54" t="s">
        <v>106</v>
      </c>
      <c r="B16" s="54" t="s">
        <v>106</v>
      </c>
      <c r="C16" s="55">
        <v>96.38</v>
      </c>
      <c r="D16" s="55">
        <v>1000.0</v>
      </c>
      <c r="E16" s="67">
        <f>IFERROR(__xludf.DUMMYFUNCTION("GOOGLEFINANCE(B16,""PRICE"")"),128.73)</f>
        <v>128.73</v>
      </c>
      <c r="F16" s="52">
        <f t="shared" ref="F16:G16" si="17">C16*D16</f>
        <v>96380</v>
      </c>
      <c r="G16" s="48">
        <f t="shared" si="17"/>
        <v>128730</v>
      </c>
      <c r="H16" s="48">
        <f>IFERROR(__xludf.DUMMYFUNCTION("GOOGLEFINANCE(B16,""changepct"")"),-0.16)</f>
        <v>-0.16</v>
      </c>
      <c r="I16" s="48">
        <f t="shared" si="3"/>
        <v>0.3356505499</v>
      </c>
      <c r="J16" s="48">
        <f t="shared" si="4"/>
        <v>0.007892429597</v>
      </c>
      <c r="K16" s="64"/>
    </row>
    <row r="17" ht="22.5" customHeight="1">
      <c r="A17" s="54" t="s">
        <v>108</v>
      </c>
      <c r="B17" s="54" t="s">
        <v>108</v>
      </c>
      <c r="C17" s="55">
        <v>378.5882353</v>
      </c>
      <c r="D17" s="55">
        <v>1700.0</v>
      </c>
      <c r="E17" s="67">
        <f>IFERROR(__xludf.DUMMYFUNCTION("GOOGLEFINANCE(B17,""PRICE"")"),365.0)</f>
        <v>365</v>
      </c>
      <c r="F17" s="52">
        <f t="shared" ref="F17:G17" si="18">C17*D17</f>
        <v>643600</v>
      </c>
      <c r="G17" s="48">
        <f t="shared" si="18"/>
        <v>620500</v>
      </c>
      <c r="H17" s="48">
        <f>IFERROR(__xludf.DUMMYFUNCTION("GOOGLEFINANCE(B17,""changepct"")"),2.26)</f>
        <v>2.26</v>
      </c>
      <c r="I17" s="48">
        <f t="shared" si="3"/>
        <v>-0.03589185831</v>
      </c>
      <c r="J17" s="48">
        <f t="shared" si="4"/>
        <v>0.03804282269</v>
      </c>
      <c r="K17" s="64"/>
    </row>
    <row r="18" ht="22.5" customHeight="1">
      <c r="A18" s="54" t="s">
        <v>110</v>
      </c>
      <c r="B18" s="54" t="s">
        <v>110</v>
      </c>
      <c r="C18" s="55">
        <v>1337.63</v>
      </c>
      <c r="D18" s="55">
        <v>283.0</v>
      </c>
      <c r="E18" s="67">
        <f>IFERROR(__xludf.DUMMYFUNCTION("GOOGLEFINANCE(B18,""PRICE"")"),1430.5)</f>
        <v>1430.5</v>
      </c>
      <c r="F18" s="52">
        <f t="shared" ref="F18:G18" si="19">C18*D18</f>
        <v>378549.29</v>
      </c>
      <c r="G18" s="48">
        <f t="shared" si="19"/>
        <v>404831.5</v>
      </c>
      <c r="H18" s="48">
        <f>IFERROR(__xludf.DUMMYFUNCTION("GOOGLEFINANCE(B18,""changepct"")"),-0.4)</f>
        <v>-0.4</v>
      </c>
      <c r="I18" s="48">
        <f t="shared" si="3"/>
        <v>0.0694287658</v>
      </c>
      <c r="J18" s="48">
        <f t="shared" si="4"/>
        <v>0.02482019819</v>
      </c>
      <c r="K18" s="64"/>
    </row>
    <row r="19" ht="22.5" customHeight="1">
      <c r="A19" s="54" t="s">
        <v>112</v>
      </c>
      <c r="B19" s="54" t="s">
        <v>112</v>
      </c>
      <c r="C19" s="55">
        <f>9444.047619/5</f>
        <v>1888.809524</v>
      </c>
      <c r="D19" s="55">
        <f>84*5</f>
        <v>420</v>
      </c>
      <c r="E19" s="67">
        <f>IFERROR(__xludf.DUMMYFUNCTION("GOOGLEFINANCE(B19,""PRICE"")"),3098.0)</f>
        <v>3098</v>
      </c>
      <c r="F19" s="52">
        <f t="shared" ref="F19:G19" si="20">C19*D19</f>
        <v>793300</v>
      </c>
      <c r="G19" s="48">
        <f t="shared" si="20"/>
        <v>1301160</v>
      </c>
      <c r="H19" s="48">
        <f>IFERROR(__xludf.DUMMYFUNCTION("GOOGLEFINANCE(B19,""changepct"")"),1.82)</f>
        <v>1.82</v>
      </c>
      <c r="I19" s="48">
        <f t="shared" si="3"/>
        <v>0.6401865625</v>
      </c>
      <c r="J19" s="48">
        <f t="shared" si="4"/>
        <v>0.07977405185</v>
      </c>
      <c r="K19" s="64"/>
    </row>
    <row r="20" ht="22.5" customHeight="1">
      <c r="A20" s="54" t="s">
        <v>114</v>
      </c>
      <c r="B20" s="54" t="s">
        <v>114</v>
      </c>
      <c r="C20" s="55">
        <v>1700.0</v>
      </c>
      <c r="D20" s="55">
        <v>100.0</v>
      </c>
      <c r="E20" s="67">
        <f>IFERROR(__xludf.DUMMYFUNCTION("GOOGLEFINANCE(B20,""PRICE"")"),2745.1)</f>
        <v>2745.1</v>
      </c>
      <c r="F20" s="52">
        <f t="shared" ref="F20:G20" si="21">C20*D20</f>
        <v>170000</v>
      </c>
      <c r="G20" s="48">
        <f t="shared" si="21"/>
        <v>274510</v>
      </c>
      <c r="H20" s="48">
        <f>IFERROR(__xludf.DUMMYFUNCTION("GOOGLEFINANCE(B20,""changepct"")"),0.71)</f>
        <v>0.71</v>
      </c>
      <c r="I20" s="48">
        <f t="shared" si="3"/>
        <v>0.6147647059</v>
      </c>
      <c r="J20" s="48">
        <f t="shared" si="4"/>
        <v>0.01683019381</v>
      </c>
      <c r="K20" s="64"/>
    </row>
    <row r="21" ht="22.5" customHeight="1">
      <c r="A21" s="54" t="s">
        <v>117</v>
      </c>
      <c r="B21" s="54" t="s">
        <v>117</v>
      </c>
      <c r="C21" s="55">
        <v>1697.19</v>
      </c>
      <c r="D21" s="55">
        <v>180.0</v>
      </c>
      <c r="E21" s="67">
        <f>IFERROR(__xludf.DUMMYFUNCTION("GOOGLEFINANCE(B21,""PRICE"")"),2521.8)</f>
        <v>2521.8</v>
      </c>
      <c r="F21" s="52">
        <f t="shared" ref="F21:G21" si="22">C21*D21</f>
        <v>305494.2</v>
      </c>
      <c r="G21" s="48">
        <f t="shared" si="22"/>
        <v>453924</v>
      </c>
      <c r="H21" s="48">
        <f>IFERROR(__xludf.DUMMYFUNCTION("GOOGLEFINANCE(B21,""changepct"")"),-1.03)</f>
        <v>-1.03</v>
      </c>
      <c r="I21" s="48">
        <f t="shared" si="3"/>
        <v>0.4858678168</v>
      </c>
      <c r="J21" s="48">
        <f t="shared" si="4"/>
        <v>0.0278300568</v>
      </c>
      <c r="K21" s="64"/>
    </row>
    <row r="22" ht="22.5" customHeight="1">
      <c r="A22" s="54" t="s">
        <v>116</v>
      </c>
      <c r="B22" s="54" t="s">
        <v>116</v>
      </c>
      <c r="C22" s="55">
        <v>780.83</v>
      </c>
      <c r="D22" s="55">
        <v>600.0</v>
      </c>
      <c r="E22" s="67">
        <f>IFERROR(__xludf.DUMMYFUNCTION("GOOGLEFINANCE(B22,""PRICE"")"),767.0)</f>
        <v>767</v>
      </c>
      <c r="F22" s="52">
        <f t="shared" ref="F22:G22" si="23">C22*D22</f>
        <v>468498</v>
      </c>
      <c r="G22" s="48">
        <f t="shared" si="23"/>
        <v>460200</v>
      </c>
      <c r="H22" s="48">
        <f>IFERROR(__xludf.DUMMYFUNCTION("GOOGLEFINANCE(B22,""changepct"")"),-1.37)</f>
        <v>-1.37</v>
      </c>
      <c r="I22" s="48">
        <f t="shared" si="3"/>
        <v>-0.01771192193</v>
      </c>
      <c r="J22" s="48">
        <f t="shared" si="4"/>
        <v>0.02821483804</v>
      </c>
      <c r="K22" s="64"/>
    </row>
    <row r="23" ht="22.5" customHeight="1">
      <c r="A23" s="54" t="s">
        <v>119</v>
      </c>
      <c r="B23" s="54" t="s">
        <v>119</v>
      </c>
      <c r="C23" s="55">
        <v>535.52</v>
      </c>
      <c r="D23" s="55">
        <v>600.0</v>
      </c>
      <c r="E23" s="67">
        <f>IFERROR(__xludf.DUMMYFUNCTION("GOOGLEFINANCE(B23,""PRICE"")"),579.65)</f>
        <v>579.65</v>
      </c>
      <c r="F23" s="52">
        <f t="shared" ref="F23:G23" si="24">C23*D23</f>
        <v>321312</v>
      </c>
      <c r="G23" s="48">
        <f t="shared" si="24"/>
        <v>347790</v>
      </c>
      <c r="H23" s="48">
        <f>IFERROR(__xludf.DUMMYFUNCTION("GOOGLEFINANCE(B23,""changepct"")"),0.17)</f>
        <v>0.17</v>
      </c>
      <c r="I23" s="48">
        <f t="shared" si="3"/>
        <v>0.08240588587</v>
      </c>
      <c r="J23" s="48">
        <f t="shared" si="4"/>
        <v>0.02132298679</v>
      </c>
      <c r="K23" s="64"/>
    </row>
    <row r="24" ht="22.5" customHeight="1">
      <c r="A24" s="3" t="s">
        <v>120</v>
      </c>
      <c r="B24" s="3" t="s">
        <v>121</v>
      </c>
      <c r="C24" s="55">
        <v>115.78</v>
      </c>
      <c r="D24" s="55">
        <v>2670.0</v>
      </c>
      <c r="E24" s="67">
        <f>IFERROR(__xludf.DUMMYFUNCTION("GOOGLEFINANCE(B24,""PRICE"")"),141.1)</f>
        <v>141.1</v>
      </c>
      <c r="F24" s="52">
        <f t="shared" ref="F24:G24" si="25">C24*D24</f>
        <v>309132.6</v>
      </c>
      <c r="G24" s="48">
        <f t="shared" si="25"/>
        <v>376737</v>
      </c>
      <c r="H24" s="48">
        <f>IFERROR(__xludf.DUMMYFUNCTION("GOOGLEFINANCE(B24,""changepct"")"),1.05)</f>
        <v>1.05</v>
      </c>
      <c r="I24" s="48">
        <f t="shared" si="3"/>
        <v>0.2186906201</v>
      </c>
      <c r="J24" s="48">
        <f t="shared" si="4"/>
        <v>0.02309772585</v>
      </c>
      <c r="K24" s="64"/>
    </row>
    <row r="27">
      <c r="F27" s="20">
        <f t="shared" ref="F27:G27" si="26">SUM(F2:F24)</f>
        <v>10286935.81</v>
      </c>
      <c r="G27" s="20">
        <f t="shared" si="26"/>
        <v>16310566.78</v>
      </c>
    </row>
  </sheetData>
  <dataValidations>
    <dataValidation type="custom" allowBlank="1" showDropDown="1" sqref="C2:J24">
      <formula1>AND(ISNUMBER(C2),(NOT(OR(NOT(ISERROR(DATEVALUE(C2))), AND(ISNUMBER(C2), LEFT(CELL("format", C2))="D")))))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4.25"/>
    <col customWidth="1" min="3" max="3" width="14.75"/>
    <col customWidth="1" min="5" max="5" width="17.0"/>
    <col customWidth="1" min="6" max="6" width="18.5"/>
    <col customWidth="1" min="7" max="7" width="18.75"/>
    <col customWidth="1" min="8" max="8" width="20.13"/>
    <col customWidth="1" min="9" max="9" width="16.25"/>
    <col customWidth="1" min="10" max="10" width="15.88"/>
  </cols>
  <sheetData>
    <row r="1" ht="22.5" customHeight="1">
      <c r="A1" s="45" t="s">
        <v>79</v>
      </c>
      <c r="B1" s="45" t="s">
        <v>80</v>
      </c>
      <c r="C1" s="45" t="s">
        <v>81</v>
      </c>
      <c r="D1" s="45" t="s">
        <v>2</v>
      </c>
      <c r="E1" s="45" t="s">
        <v>82</v>
      </c>
      <c r="F1" s="45" t="s">
        <v>30</v>
      </c>
      <c r="G1" s="45" t="s">
        <v>83</v>
      </c>
      <c r="H1" s="45" t="s">
        <v>84</v>
      </c>
      <c r="I1" s="68" t="s">
        <v>3</v>
      </c>
      <c r="J1" s="46" t="s">
        <v>157</v>
      </c>
    </row>
    <row r="2" ht="22.5" customHeight="1">
      <c r="A2" s="54" t="s">
        <v>17</v>
      </c>
      <c r="B2" s="55">
        <v>410.0</v>
      </c>
      <c r="C2" s="55">
        <v>350.0</v>
      </c>
      <c r="D2" s="69">
        <f>IFERROR(__xludf.DUMMYFUNCTION("GOOGLEFINANCE(A2,""PRICE"")"),1227.9)</f>
        <v>1227.9</v>
      </c>
      <c r="E2" s="48">
        <f t="shared" ref="E2:F2" si="1">B2*C2</f>
        <v>143500</v>
      </c>
      <c r="F2" s="48">
        <f t="shared" si="1"/>
        <v>429765</v>
      </c>
      <c r="G2" s="70">
        <f>IFERROR(__xludf.DUMMYFUNCTION("GOOGLEFINANCE(A2,""changepct"")"),-1.4)</f>
        <v>-1.4</v>
      </c>
      <c r="H2" s="49">
        <f t="shared" ref="H2:H8" si="3">(D2-B2)/B2</f>
        <v>1.994878049</v>
      </c>
      <c r="I2" s="71">
        <f t="shared" ref="I2:I8" si="4">F2/F$9*100</f>
        <v>23.44948266</v>
      </c>
      <c r="J2" s="48">
        <f t="shared" ref="J2:J8" si="5">F2-E2</f>
        <v>286265</v>
      </c>
    </row>
    <row r="3" ht="22.5" customHeight="1">
      <c r="A3" s="3" t="s">
        <v>204</v>
      </c>
      <c r="B3" s="55">
        <v>124.39</v>
      </c>
      <c r="C3" s="55">
        <v>3000.0</v>
      </c>
      <c r="D3" s="69">
        <f>IFERROR(__xludf.DUMMYFUNCTION("GOOGLEFINANCE(A3,""PRICE"")"),124.39)</f>
        <v>124.39</v>
      </c>
      <c r="E3" s="48">
        <f t="shared" ref="E3:F3" si="2">B3*C3</f>
        <v>373170</v>
      </c>
      <c r="F3" s="48">
        <f t="shared" si="2"/>
        <v>373170</v>
      </c>
      <c r="G3" s="70">
        <f>IFERROR(__xludf.DUMMYFUNCTION("GOOGLEFINANCE(A3,""changepct"")"),-0.06)</f>
        <v>-0.06</v>
      </c>
      <c r="H3" s="49">
        <f t="shared" si="3"/>
        <v>0</v>
      </c>
      <c r="I3" s="71">
        <f t="shared" si="4"/>
        <v>20.36146136</v>
      </c>
      <c r="J3" s="48">
        <f t="shared" si="5"/>
        <v>0</v>
      </c>
    </row>
    <row r="4" ht="22.5" customHeight="1">
      <c r="A4" s="3" t="s">
        <v>116</v>
      </c>
      <c r="B4" s="50">
        <v>760.0</v>
      </c>
      <c r="C4" s="50">
        <v>161.0</v>
      </c>
      <c r="D4" s="69">
        <f>IFERROR(__xludf.DUMMYFUNCTION("GOOGLEFINANCE(A4,""PRICE"")"),767.0)</f>
        <v>767</v>
      </c>
      <c r="E4" s="48">
        <f t="shared" ref="E4:F4" si="6">B4*C4</f>
        <v>122360</v>
      </c>
      <c r="F4" s="48">
        <f t="shared" si="6"/>
        <v>123487</v>
      </c>
      <c r="G4" s="70">
        <f>IFERROR(__xludf.DUMMYFUNCTION("GOOGLEFINANCE(A4,""changepct"")"),-1.37)</f>
        <v>-1.37</v>
      </c>
      <c r="H4" s="49">
        <f t="shared" si="3"/>
        <v>0.009210526316</v>
      </c>
      <c r="I4" s="71">
        <f t="shared" si="4"/>
        <v>6.737882947</v>
      </c>
      <c r="J4" s="48">
        <f t="shared" si="5"/>
        <v>1127</v>
      </c>
    </row>
    <row r="5" ht="22.5" customHeight="1">
      <c r="A5" s="3" t="s">
        <v>108</v>
      </c>
      <c r="B5" s="50">
        <v>420.44</v>
      </c>
      <c r="C5" s="50">
        <v>410.0</v>
      </c>
      <c r="D5" s="69">
        <f>IFERROR(__xludf.DUMMYFUNCTION("GOOGLEFINANCE(A5,""PRICE"")"),365.0)</f>
        <v>365</v>
      </c>
      <c r="E5" s="48">
        <f t="shared" ref="E5:F5" si="7">B5*C5</f>
        <v>172380.4</v>
      </c>
      <c r="F5" s="48">
        <f t="shared" si="7"/>
        <v>149650</v>
      </c>
      <c r="G5" s="70">
        <f>IFERROR(__xludf.DUMMYFUNCTION("GOOGLEFINANCE(A5,""changepct"")"),2.26)</f>
        <v>2.26</v>
      </c>
      <c r="H5" s="49">
        <f t="shared" si="3"/>
        <v>-0.131861859</v>
      </c>
      <c r="I5" s="71">
        <f t="shared" si="4"/>
        <v>8.165427802</v>
      </c>
      <c r="J5" s="48">
        <f t="shared" si="5"/>
        <v>-22730.4</v>
      </c>
    </row>
    <row r="6" ht="22.5" customHeight="1">
      <c r="A6" s="54" t="s">
        <v>112</v>
      </c>
      <c r="B6" s="55">
        <v>2190.0</v>
      </c>
      <c r="C6" s="55">
        <v>135.0</v>
      </c>
      <c r="D6" s="69">
        <f>IFERROR(__xludf.DUMMYFUNCTION("GOOGLEFINANCE(A6,""PRICE"")"),3098.0)</f>
        <v>3098</v>
      </c>
      <c r="E6" s="48">
        <f t="shared" ref="E6:F6" si="8">B6*C6</f>
        <v>295650</v>
      </c>
      <c r="F6" s="48">
        <f t="shared" si="8"/>
        <v>418230</v>
      </c>
      <c r="G6" s="70">
        <f>IFERROR(__xludf.DUMMYFUNCTION("GOOGLEFINANCE(A6,""changepct"")"),1.82)</f>
        <v>1.82</v>
      </c>
      <c r="H6" s="49">
        <f t="shared" si="3"/>
        <v>0.4146118721</v>
      </c>
      <c r="I6" s="71">
        <f t="shared" si="4"/>
        <v>22.82009268</v>
      </c>
      <c r="J6" s="48">
        <f t="shared" si="5"/>
        <v>122580</v>
      </c>
    </row>
    <row r="7" ht="22.5" customHeight="1">
      <c r="A7" s="54" t="s">
        <v>90</v>
      </c>
      <c r="B7" s="55">
        <v>512.0</v>
      </c>
      <c r="C7" s="55">
        <v>170.0</v>
      </c>
      <c r="D7" s="69">
        <f>IFERROR(__xludf.DUMMYFUNCTION("GOOGLEFINANCE(A7,""PRICE"")"),522.5)</f>
        <v>522.5</v>
      </c>
      <c r="E7" s="48">
        <f t="shared" ref="E7:F7" si="9">B7*C7</f>
        <v>87040</v>
      </c>
      <c r="F7" s="48">
        <f t="shared" si="9"/>
        <v>88825</v>
      </c>
      <c r="G7" s="70">
        <f>IFERROR(__xludf.DUMMYFUNCTION("GOOGLEFINANCE(A7,""changepct"")"),1.49)</f>
        <v>1.49</v>
      </c>
      <c r="H7" s="49">
        <f t="shared" si="3"/>
        <v>0.0205078125</v>
      </c>
      <c r="I7" s="71">
        <f t="shared" si="4"/>
        <v>4.846602904</v>
      </c>
      <c r="J7" s="48">
        <f t="shared" si="5"/>
        <v>1785</v>
      </c>
    </row>
    <row r="8" ht="22.5" customHeight="1">
      <c r="A8" s="54" t="s">
        <v>102</v>
      </c>
      <c r="B8" s="55">
        <v>44.5</v>
      </c>
      <c r="C8" s="55">
        <v>4000.0</v>
      </c>
      <c r="D8" s="69">
        <f>IFERROR(__xludf.DUMMYFUNCTION("GOOGLEFINANCE(A8,""PRICE"")"),62.4)</f>
        <v>62.4</v>
      </c>
      <c r="E8" s="48">
        <f t="shared" ref="E8:F8" si="10">B8*C8</f>
        <v>178000</v>
      </c>
      <c r="F8" s="48">
        <f t="shared" si="10"/>
        <v>249600</v>
      </c>
      <c r="G8" s="70">
        <f>IFERROR(__xludf.DUMMYFUNCTION("GOOGLEFINANCE(A8,""changepct"")"),-0.43)</f>
        <v>-0.43</v>
      </c>
      <c r="H8" s="49">
        <f t="shared" si="3"/>
        <v>0.402247191</v>
      </c>
      <c r="I8" s="71">
        <f t="shared" si="4"/>
        <v>13.61904965</v>
      </c>
      <c r="J8" s="48">
        <f t="shared" si="5"/>
        <v>71600</v>
      </c>
    </row>
    <row r="9">
      <c r="E9" s="20">
        <f t="shared" ref="E9:F9" si="11">SUM(E2:E8)</f>
        <v>1372100.4</v>
      </c>
      <c r="F9" s="20">
        <f t="shared" si="11"/>
        <v>1832727</v>
      </c>
      <c r="I9" s="72"/>
    </row>
    <row r="10">
      <c r="F10" s="8">
        <v>1.86</v>
      </c>
      <c r="G10" s="8" t="s">
        <v>124</v>
      </c>
      <c r="I10" s="72"/>
      <c r="J10" s="20">
        <f>484*400</f>
        <v>193600</v>
      </c>
      <c r="K10" s="20">
        <f>J11+J10</f>
        <v>388600</v>
      </c>
    </row>
    <row r="11">
      <c r="I11" s="72"/>
      <c r="J11" s="20">
        <f>390*500</f>
        <v>195000</v>
      </c>
    </row>
    <row r="12">
      <c r="B12" s="8" t="s">
        <v>205</v>
      </c>
      <c r="C12" s="8" t="s">
        <v>206</v>
      </c>
      <c r="D12" s="8" t="s">
        <v>207</v>
      </c>
      <c r="E12" s="8" t="s">
        <v>206</v>
      </c>
      <c r="F12" s="8" t="s">
        <v>208</v>
      </c>
      <c r="G12" s="8" t="s">
        <v>206</v>
      </c>
      <c r="H12" s="8" t="s">
        <v>209</v>
      </c>
      <c r="I12" s="72"/>
    </row>
    <row r="13">
      <c r="A13" s="8" t="s">
        <v>210</v>
      </c>
      <c r="B13" s="8">
        <v>28.27</v>
      </c>
      <c r="C13" s="8">
        <v>40.0</v>
      </c>
      <c r="D13" s="8">
        <v>19.98</v>
      </c>
      <c r="E13" s="8">
        <v>35.0</v>
      </c>
      <c r="F13" s="8">
        <v>11.08</v>
      </c>
      <c r="G13" s="8">
        <v>30.0</v>
      </c>
      <c r="I13" s="72"/>
    </row>
    <row r="14">
      <c r="A14" s="8" t="s">
        <v>211</v>
      </c>
      <c r="B14" s="8">
        <v>21.31</v>
      </c>
      <c r="C14" s="8">
        <v>40.0</v>
      </c>
      <c r="D14" s="8">
        <v>15.53</v>
      </c>
      <c r="E14" s="8">
        <v>35.0</v>
      </c>
      <c r="F14" s="8">
        <v>9.11</v>
      </c>
      <c r="G14" s="8">
        <v>30.0</v>
      </c>
      <c r="I14" s="72"/>
    </row>
    <row r="15">
      <c r="A15" s="37" t="s">
        <v>212</v>
      </c>
      <c r="B15" s="8">
        <v>45.36</v>
      </c>
      <c r="C15" s="8">
        <v>25.0</v>
      </c>
      <c r="D15" s="8">
        <v>27.92</v>
      </c>
      <c r="E15" s="8">
        <v>22.0</v>
      </c>
      <c r="F15" s="8">
        <v>16.29</v>
      </c>
      <c r="G15" s="8">
        <v>20.0</v>
      </c>
      <c r="I15" s="72"/>
    </row>
    <row r="16">
      <c r="A16" s="37" t="s">
        <v>213</v>
      </c>
      <c r="B16" s="8">
        <v>45.47</v>
      </c>
      <c r="C16" s="8" t="s">
        <v>214</v>
      </c>
      <c r="D16" s="8">
        <v>32.8</v>
      </c>
      <c r="E16" s="8" t="s">
        <v>215</v>
      </c>
      <c r="F16" s="8">
        <v>18.78</v>
      </c>
      <c r="G16" s="8" t="s">
        <v>216</v>
      </c>
      <c r="I16" s="72"/>
    </row>
    <row r="17">
      <c r="A17" s="8" t="s">
        <v>217</v>
      </c>
      <c r="B17" s="8">
        <v>66.29</v>
      </c>
      <c r="C17" s="8">
        <v>30.0</v>
      </c>
      <c r="D17" s="8">
        <v>38.57</v>
      </c>
      <c r="E17" s="8">
        <v>25.0</v>
      </c>
      <c r="F17" s="8">
        <v>10.86</v>
      </c>
      <c r="G17" s="8">
        <v>20.0</v>
      </c>
      <c r="I17" s="72"/>
    </row>
    <row r="18">
      <c r="A18" s="8" t="s">
        <v>218</v>
      </c>
      <c r="B18" s="8">
        <v>26.21</v>
      </c>
      <c r="C18" s="8">
        <v>35.0</v>
      </c>
      <c r="D18" s="8">
        <v>16.85</v>
      </c>
      <c r="E18" s="8">
        <v>30.0</v>
      </c>
      <c r="F18" s="8">
        <v>6.67</v>
      </c>
      <c r="G18" s="8">
        <v>25.0</v>
      </c>
      <c r="I18" s="72"/>
    </row>
    <row r="19">
      <c r="A19" s="37" t="s">
        <v>219</v>
      </c>
      <c r="B19" s="8">
        <v>36.61</v>
      </c>
      <c r="C19" s="8">
        <v>18.0</v>
      </c>
      <c r="D19" s="8">
        <v>27.56</v>
      </c>
      <c r="E19" s="8">
        <v>16.0</v>
      </c>
      <c r="F19" s="8">
        <v>22.78</v>
      </c>
      <c r="G19" s="8">
        <v>15.0</v>
      </c>
      <c r="I19" s="72"/>
    </row>
    <row r="20">
      <c r="A20" s="8" t="s">
        <v>220</v>
      </c>
      <c r="B20" s="8">
        <v>28.58</v>
      </c>
      <c r="C20" s="8">
        <v>30.0</v>
      </c>
      <c r="D20" s="8">
        <v>24.22</v>
      </c>
      <c r="E20" s="8">
        <v>28.0</v>
      </c>
      <c r="F20" s="8">
        <v>17.37</v>
      </c>
      <c r="G20" s="8">
        <v>25.0</v>
      </c>
      <c r="I20" s="72"/>
    </row>
    <row r="21">
      <c r="A21" s="8" t="s">
        <v>221</v>
      </c>
      <c r="B21" s="8">
        <v>16.84</v>
      </c>
      <c r="C21" s="8">
        <v>50.0</v>
      </c>
      <c r="D21" s="8">
        <v>10.85</v>
      </c>
      <c r="E21" s="8">
        <v>45.0</v>
      </c>
      <c r="F21" s="8">
        <v>4.51</v>
      </c>
      <c r="G21" s="8">
        <v>40.0</v>
      </c>
      <c r="I21" s="72"/>
    </row>
    <row r="22">
      <c r="A22" s="8" t="s">
        <v>222</v>
      </c>
      <c r="B22" s="8">
        <v>30.22</v>
      </c>
      <c r="C22" s="8">
        <v>20.0</v>
      </c>
      <c r="D22" s="8">
        <v>23.54</v>
      </c>
      <c r="E22" s="8">
        <v>18.0</v>
      </c>
      <c r="F22" s="8">
        <v>12.78</v>
      </c>
      <c r="G22" s="8">
        <v>15.0</v>
      </c>
      <c r="I22" s="72"/>
    </row>
    <row r="23">
      <c r="A23" s="8" t="s">
        <v>223</v>
      </c>
      <c r="B23" s="8">
        <v>31.28</v>
      </c>
      <c r="C23" s="8">
        <v>25.0</v>
      </c>
      <c r="D23" s="8">
        <v>23.15</v>
      </c>
      <c r="E23" s="8">
        <v>22.0</v>
      </c>
      <c r="F23" s="8">
        <v>17.42</v>
      </c>
      <c r="G23" s="8">
        <v>20.0</v>
      </c>
      <c r="H23" s="8">
        <v>23.2</v>
      </c>
      <c r="I23" s="72"/>
    </row>
    <row r="24">
      <c r="A24" s="8" t="s">
        <v>224</v>
      </c>
      <c r="B24" s="8">
        <v>30.97</v>
      </c>
      <c r="C24" s="8">
        <v>22.0</v>
      </c>
      <c r="D24" s="8">
        <v>24.87</v>
      </c>
      <c r="E24" s="8">
        <v>20.0</v>
      </c>
      <c r="F24" s="8">
        <v>18.46</v>
      </c>
      <c r="G24" s="8">
        <v>18.0</v>
      </c>
      <c r="I24" s="72"/>
    </row>
    <row r="25">
      <c r="A25" s="37" t="s">
        <v>225</v>
      </c>
      <c r="B25" s="8">
        <v>48.32</v>
      </c>
      <c r="C25" s="8">
        <v>25.0</v>
      </c>
      <c r="D25" s="8">
        <v>30.53</v>
      </c>
      <c r="E25" s="8">
        <v>22.0</v>
      </c>
      <c r="F25" s="8">
        <v>18.66</v>
      </c>
      <c r="G25" s="8">
        <v>20.0</v>
      </c>
      <c r="I25" s="72"/>
    </row>
    <row r="26">
      <c r="I26" s="72"/>
    </row>
    <row r="27">
      <c r="I27" s="72"/>
    </row>
    <row r="28">
      <c r="I28" s="72"/>
    </row>
    <row r="29">
      <c r="I29" s="72"/>
    </row>
    <row r="30">
      <c r="I30" s="72"/>
    </row>
    <row r="31">
      <c r="I31" s="72"/>
    </row>
    <row r="32">
      <c r="I32" s="72"/>
    </row>
    <row r="33">
      <c r="I33" s="72"/>
    </row>
    <row r="34">
      <c r="I34" s="72"/>
    </row>
    <row r="35">
      <c r="I35" s="72"/>
    </row>
    <row r="36">
      <c r="I36" s="72"/>
    </row>
    <row r="37">
      <c r="I37" s="72"/>
    </row>
    <row r="38">
      <c r="I38" s="72"/>
    </row>
    <row r="39">
      <c r="I39" s="72"/>
    </row>
    <row r="40">
      <c r="I40" s="72"/>
    </row>
    <row r="41">
      <c r="I41" s="72"/>
    </row>
    <row r="42">
      <c r="I42" s="72"/>
    </row>
    <row r="43">
      <c r="I43" s="72"/>
    </row>
    <row r="44">
      <c r="I44" s="72"/>
    </row>
    <row r="45">
      <c r="I45" s="72"/>
    </row>
    <row r="46">
      <c r="I46" s="72"/>
    </row>
    <row r="47">
      <c r="I47" s="72"/>
    </row>
    <row r="48">
      <c r="I48" s="72"/>
    </row>
    <row r="49">
      <c r="I49" s="72"/>
    </row>
    <row r="50">
      <c r="I50" s="72"/>
    </row>
    <row r="51">
      <c r="I51" s="72"/>
    </row>
    <row r="52">
      <c r="I52" s="72"/>
    </row>
    <row r="53">
      <c r="I53" s="72"/>
    </row>
    <row r="54">
      <c r="I54" s="72"/>
    </row>
    <row r="55">
      <c r="I55" s="72"/>
    </row>
    <row r="56">
      <c r="I56" s="72"/>
    </row>
    <row r="57">
      <c r="I57" s="72"/>
    </row>
    <row r="58">
      <c r="I58" s="72"/>
    </row>
    <row r="59">
      <c r="I59" s="72"/>
    </row>
    <row r="60">
      <c r="I60" s="72"/>
    </row>
    <row r="61">
      <c r="I61" s="72"/>
    </row>
    <row r="62">
      <c r="I62" s="72"/>
    </row>
    <row r="63">
      <c r="I63" s="72"/>
    </row>
    <row r="64">
      <c r="I64" s="72"/>
    </row>
    <row r="65">
      <c r="I65" s="72"/>
    </row>
    <row r="66">
      <c r="I66" s="72"/>
    </row>
    <row r="67">
      <c r="I67" s="72"/>
    </row>
    <row r="68">
      <c r="I68" s="72"/>
    </row>
    <row r="69">
      <c r="I69" s="72"/>
    </row>
    <row r="70">
      <c r="I70" s="72"/>
    </row>
    <row r="71">
      <c r="I71" s="72"/>
    </row>
    <row r="72">
      <c r="I72" s="72"/>
    </row>
    <row r="73">
      <c r="I73" s="72"/>
    </row>
    <row r="74">
      <c r="I74" s="72"/>
    </row>
    <row r="75">
      <c r="I75" s="72"/>
    </row>
    <row r="76">
      <c r="I76" s="72"/>
    </row>
    <row r="77">
      <c r="I77" s="72"/>
    </row>
    <row r="78">
      <c r="I78" s="72"/>
    </row>
    <row r="79">
      <c r="I79" s="72"/>
    </row>
    <row r="80">
      <c r="I80" s="72"/>
    </row>
    <row r="81">
      <c r="I81" s="72"/>
    </row>
    <row r="82">
      <c r="I82" s="72"/>
    </row>
    <row r="83">
      <c r="I83" s="72"/>
    </row>
    <row r="84">
      <c r="I84" s="72"/>
    </row>
    <row r="85">
      <c r="I85" s="72"/>
    </row>
    <row r="86">
      <c r="I86" s="72"/>
    </row>
    <row r="87">
      <c r="I87" s="72"/>
    </row>
    <row r="88">
      <c r="I88" s="72"/>
    </row>
    <row r="89">
      <c r="I89" s="72"/>
    </row>
    <row r="90">
      <c r="I90" s="72"/>
    </row>
    <row r="91">
      <c r="I91" s="72"/>
    </row>
    <row r="92">
      <c r="I92" s="72"/>
    </row>
    <row r="93">
      <c r="I93" s="72"/>
    </row>
    <row r="94">
      <c r="I94" s="72"/>
    </row>
    <row r="95">
      <c r="I95" s="72"/>
    </row>
    <row r="96">
      <c r="I96" s="72"/>
    </row>
    <row r="97">
      <c r="I97" s="72"/>
    </row>
    <row r="98">
      <c r="I98" s="72"/>
    </row>
    <row r="99">
      <c r="I99" s="72"/>
    </row>
    <row r="100">
      <c r="I100" s="72"/>
    </row>
    <row r="101">
      <c r="I101" s="72"/>
    </row>
    <row r="102">
      <c r="I102" s="72"/>
    </row>
    <row r="103">
      <c r="I103" s="72"/>
    </row>
    <row r="104">
      <c r="I104" s="72"/>
    </row>
    <row r="105">
      <c r="I105" s="72"/>
    </row>
    <row r="106">
      <c r="I106" s="72"/>
    </row>
    <row r="107">
      <c r="I107" s="72"/>
    </row>
    <row r="108">
      <c r="I108" s="72"/>
    </row>
    <row r="109">
      <c r="I109" s="72"/>
    </row>
    <row r="110">
      <c r="I110" s="72"/>
    </row>
    <row r="111">
      <c r="I111" s="72"/>
    </row>
    <row r="112">
      <c r="I112" s="72"/>
    </row>
    <row r="113">
      <c r="I113" s="72"/>
    </row>
    <row r="114">
      <c r="I114" s="72"/>
    </row>
    <row r="115">
      <c r="I115" s="72"/>
    </row>
    <row r="116">
      <c r="I116" s="72"/>
    </row>
    <row r="117">
      <c r="I117" s="72"/>
    </row>
    <row r="118">
      <c r="I118" s="72"/>
    </row>
    <row r="119">
      <c r="I119" s="72"/>
    </row>
    <row r="120">
      <c r="I120" s="72"/>
    </row>
    <row r="121">
      <c r="I121" s="72"/>
    </row>
    <row r="122">
      <c r="I122" s="72"/>
    </row>
    <row r="123">
      <c r="I123" s="72"/>
    </row>
    <row r="124">
      <c r="I124" s="72"/>
    </row>
    <row r="125">
      <c r="I125" s="72"/>
    </row>
    <row r="126">
      <c r="I126" s="72"/>
    </row>
    <row r="127">
      <c r="I127" s="72"/>
    </row>
    <row r="128">
      <c r="I128" s="72"/>
    </row>
    <row r="129">
      <c r="I129" s="72"/>
    </row>
    <row r="130">
      <c r="I130" s="72"/>
    </row>
    <row r="131">
      <c r="I131" s="72"/>
    </row>
    <row r="132">
      <c r="I132" s="72"/>
    </row>
    <row r="133">
      <c r="I133" s="72"/>
    </row>
    <row r="134">
      <c r="I134" s="72"/>
    </row>
    <row r="135">
      <c r="I135" s="72"/>
    </row>
    <row r="136">
      <c r="I136" s="72"/>
    </row>
    <row r="137">
      <c r="I137" s="72"/>
    </row>
    <row r="138">
      <c r="I138" s="72"/>
    </row>
    <row r="139">
      <c r="I139" s="72"/>
    </row>
    <row r="140">
      <c r="I140" s="72"/>
    </row>
    <row r="141">
      <c r="I141" s="72"/>
    </row>
    <row r="142">
      <c r="I142" s="72"/>
    </row>
    <row r="143">
      <c r="I143" s="72"/>
    </row>
    <row r="144">
      <c r="I144" s="72"/>
    </row>
    <row r="145">
      <c r="I145" s="72"/>
    </row>
    <row r="146">
      <c r="I146" s="72"/>
    </row>
    <row r="147">
      <c r="I147" s="72"/>
    </row>
    <row r="148">
      <c r="I148" s="72"/>
    </row>
    <row r="149">
      <c r="I149" s="72"/>
    </row>
    <row r="150">
      <c r="I150" s="72"/>
    </row>
    <row r="151">
      <c r="I151" s="72"/>
    </row>
    <row r="152">
      <c r="I152" s="72"/>
    </row>
    <row r="153">
      <c r="I153" s="72"/>
    </row>
    <row r="154">
      <c r="I154" s="72"/>
    </row>
    <row r="155">
      <c r="I155" s="72"/>
    </row>
    <row r="156">
      <c r="I156" s="72"/>
    </row>
    <row r="157">
      <c r="I157" s="72"/>
    </row>
    <row r="158">
      <c r="I158" s="72"/>
    </row>
    <row r="159">
      <c r="I159" s="72"/>
    </row>
    <row r="160">
      <c r="I160" s="72"/>
    </row>
    <row r="161">
      <c r="I161" s="72"/>
    </row>
    <row r="162">
      <c r="I162" s="72"/>
    </row>
    <row r="163">
      <c r="I163" s="72"/>
    </row>
    <row r="164">
      <c r="I164" s="72"/>
    </row>
    <row r="165">
      <c r="I165" s="72"/>
    </row>
    <row r="166">
      <c r="I166" s="72"/>
    </row>
    <row r="167">
      <c r="I167" s="72"/>
    </row>
    <row r="168">
      <c r="I168" s="72"/>
    </row>
    <row r="169">
      <c r="I169" s="72"/>
    </row>
    <row r="170">
      <c r="I170" s="72"/>
    </row>
    <row r="171">
      <c r="I171" s="72"/>
    </row>
    <row r="172">
      <c r="I172" s="72"/>
    </row>
    <row r="173">
      <c r="I173" s="72"/>
    </row>
    <row r="174">
      <c r="I174" s="72"/>
    </row>
    <row r="175">
      <c r="I175" s="72"/>
    </row>
    <row r="176">
      <c r="I176" s="72"/>
    </row>
    <row r="177">
      <c r="I177" s="72"/>
    </row>
    <row r="178">
      <c r="I178" s="72"/>
    </row>
    <row r="179">
      <c r="I179" s="72"/>
    </row>
    <row r="180">
      <c r="I180" s="72"/>
    </row>
    <row r="181">
      <c r="I181" s="72"/>
    </row>
    <row r="182">
      <c r="I182" s="72"/>
    </row>
    <row r="183">
      <c r="I183" s="72"/>
    </row>
    <row r="184">
      <c r="I184" s="72"/>
    </row>
    <row r="185">
      <c r="I185" s="72"/>
    </row>
    <row r="186">
      <c r="I186" s="72"/>
    </row>
    <row r="187">
      <c r="I187" s="72"/>
    </row>
    <row r="188">
      <c r="I188" s="72"/>
    </row>
    <row r="189">
      <c r="I189" s="72"/>
    </row>
    <row r="190">
      <c r="I190" s="72"/>
    </row>
    <row r="191">
      <c r="I191" s="72"/>
    </row>
    <row r="192">
      <c r="I192" s="72"/>
    </row>
    <row r="193">
      <c r="I193" s="72"/>
    </row>
    <row r="194">
      <c r="I194" s="72"/>
    </row>
    <row r="195">
      <c r="I195" s="72"/>
    </row>
    <row r="196">
      <c r="I196" s="72"/>
    </row>
    <row r="197">
      <c r="I197" s="72"/>
    </row>
    <row r="198">
      <c r="I198" s="72"/>
    </row>
    <row r="199">
      <c r="I199" s="72"/>
    </row>
    <row r="200">
      <c r="I200" s="72"/>
    </row>
    <row r="201">
      <c r="I201" s="72"/>
    </row>
    <row r="202">
      <c r="I202" s="72"/>
    </row>
    <row r="203">
      <c r="I203" s="72"/>
    </row>
    <row r="204">
      <c r="I204" s="72"/>
    </row>
    <row r="205">
      <c r="I205" s="72"/>
    </row>
    <row r="206">
      <c r="I206" s="72"/>
    </row>
    <row r="207">
      <c r="I207" s="72"/>
    </row>
    <row r="208">
      <c r="I208" s="72"/>
    </row>
    <row r="209">
      <c r="I209" s="72"/>
    </row>
    <row r="210">
      <c r="I210" s="72"/>
    </row>
    <row r="211">
      <c r="I211" s="72"/>
    </row>
    <row r="212">
      <c r="I212" s="72"/>
    </row>
    <row r="213">
      <c r="I213" s="72"/>
    </row>
    <row r="214">
      <c r="I214" s="72"/>
    </row>
    <row r="215">
      <c r="I215" s="72"/>
    </row>
    <row r="216">
      <c r="I216" s="72"/>
    </row>
    <row r="217">
      <c r="I217" s="72"/>
    </row>
    <row r="218">
      <c r="I218" s="72"/>
    </row>
    <row r="219">
      <c r="I219" s="72"/>
    </row>
    <row r="220">
      <c r="I220" s="72"/>
    </row>
    <row r="221">
      <c r="I221" s="72"/>
    </row>
    <row r="222">
      <c r="I222" s="72"/>
    </row>
    <row r="223">
      <c r="I223" s="72"/>
    </row>
    <row r="224">
      <c r="I224" s="72"/>
    </row>
    <row r="225">
      <c r="I225" s="72"/>
    </row>
    <row r="226">
      <c r="I226" s="72"/>
    </row>
    <row r="227">
      <c r="I227" s="72"/>
    </row>
    <row r="228">
      <c r="I228" s="72"/>
    </row>
    <row r="229">
      <c r="I229" s="72"/>
    </row>
    <row r="230">
      <c r="I230" s="72"/>
    </row>
    <row r="231">
      <c r="I231" s="72"/>
    </row>
    <row r="232">
      <c r="I232" s="72"/>
    </row>
    <row r="233">
      <c r="I233" s="72"/>
    </row>
    <row r="234">
      <c r="I234" s="72"/>
    </row>
    <row r="235">
      <c r="I235" s="72"/>
    </row>
    <row r="236">
      <c r="I236" s="72"/>
    </row>
    <row r="237">
      <c r="I237" s="72"/>
    </row>
    <row r="238">
      <c r="I238" s="72"/>
    </row>
    <row r="239">
      <c r="I239" s="72"/>
    </row>
    <row r="240">
      <c r="I240" s="72"/>
    </row>
    <row r="241">
      <c r="I241" s="72"/>
    </row>
    <row r="242">
      <c r="I242" s="72"/>
    </row>
    <row r="243">
      <c r="I243" s="72"/>
    </row>
    <row r="244">
      <c r="I244" s="72"/>
    </row>
    <row r="245">
      <c r="I245" s="72"/>
    </row>
    <row r="246">
      <c r="I246" s="72"/>
    </row>
    <row r="247">
      <c r="I247" s="72"/>
    </row>
    <row r="248">
      <c r="I248" s="72"/>
    </row>
    <row r="249">
      <c r="I249" s="72"/>
    </row>
    <row r="250">
      <c r="I250" s="72"/>
    </row>
    <row r="251">
      <c r="I251" s="72"/>
    </row>
    <row r="252">
      <c r="I252" s="72"/>
    </row>
    <row r="253">
      <c r="I253" s="72"/>
    </row>
    <row r="254">
      <c r="I254" s="72"/>
    </row>
    <row r="255">
      <c r="I255" s="72"/>
    </row>
    <row r="256">
      <c r="I256" s="72"/>
    </row>
    <row r="257">
      <c r="I257" s="72"/>
    </row>
    <row r="258">
      <c r="I258" s="72"/>
    </row>
    <row r="259">
      <c r="I259" s="72"/>
    </row>
    <row r="260">
      <c r="I260" s="72"/>
    </row>
    <row r="261">
      <c r="I261" s="72"/>
    </row>
    <row r="262">
      <c r="I262" s="72"/>
    </row>
    <row r="263">
      <c r="I263" s="72"/>
    </row>
    <row r="264">
      <c r="I264" s="72"/>
    </row>
    <row r="265">
      <c r="I265" s="72"/>
    </row>
    <row r="266">
      <c r="I266" s="72"/>
    </row>
    <row r="267">
      <c r="I267" s="72"/>
    </row>
    <row r="268">
      <c r="I268" s="72"/>
    </row>
    <row r="269">
      <c r="I269" s="72"/>
    </row>
    <row r="270">
      <c r="I270" s="72"/>
    </row>
    <row r="271">
      <c r="I271" s="72"/>
    </row>
    <row r="272">
      <c r="I272" s="72"/>
    </row>
    <row r="273">
      <c r="I273" s="72"/>
    </row>
    <row r="274">
      <c r="I274" s="72"/>
    </row>
    <row r="275">
      <c r="I275" s="72"/>
    </row>
    <row r="276">
      <c r="I276" s="72"/>
    </row>
    <row r="277">
      <c r="I277" s="72"/>
    </row>
    <row r="278">
      <c r="I278" s="72"/>
    </row>
    <row r="279">
      <c r="I279" s="72"/>
    </row>
    <row r="280">
      <c r="I280" s="72"/>
    </row>
    <row r="281">
      <c r="I281" s="72"/>
    </row>
    <row r="282">
      <c r="I282" s="72"/>
    </row>
    <row r="283">
      <c r="I283" s="72"/>
    </row>
    <row r="284">
      <c r="I284" s="72"/>
    </row>
    <row r="285">
      <c r="I285" s="72"/>
    </row>
    <row r="286">
      <c r="I286" s="72"/>
    </row>
    <row r="287">
      <c r="I287" s="72"/>
    </row>
    <row r="288">
      <c r="I288" s="72"/>
    </row>
    <row r="289">
      <c r="I289" s="72"/>
    </row>
    <row r="290">
      <c r="I290" s="72"/>
    </row>
    <row r="291">
      <c r="I291" s="72"/>
    </row>
    <row r="292">
      <c r="I292" s="72"/>
    </row>
    <row r="293">
      <c r="I293" s="72"/>
    </row>
    <row r="294">
      <c r="I294" s="72"/>
    </row>
    <row r="295">
      <c r="I295" s="72"/>
    </row>
    <row r="296">
      <c r="I296" s="72"/>
    </row>
    <row r="297">
      <c r="I297" s="72"/>
    </row>
    <row r="298">
      <c r="I298" s="72"/>
    </row>
    <row r="299">
      <c r="I299" s="72"/>
    </row>
    <row r="300">
      <c r="I300" s="72"/>
    </row>
    <row r="301">
      <c r="I301" s="72"/>
    </row>
    <row r="302">
      <c r="I302" s="72"/>
    </row>
    <row r="303">
      <c r="I303" s="72"/>
    </row>
    <row r="304">
      <c r="I304" s="72"/>
    </row>
    <row r="305">
      <c r="I305" s="72"/>
    </row>
    <row r="306">
      <c r="I306" s="72"/>
    </row>
    <row r="307">
      <c r="I307" s="72"/>
    </row>
    <row r="308">
      <c r="I308" s="72"/>
    </row>
    <row r="309">
      <c r="I309" s="72"/>
    </row>
    <row r="310">
      <c r="I310" s="72"/>
    </row>
    <row r="311">
      <c r="I311" s="72"/>
    </row>
    <row r="312">
      <c r="I312" s="72"/>
    </row>
    <row r="313">
      <c r="I313" s="72"/>
    </row>
    <row r="314">
      <c r="I314" s="72"/>
    </row>
    <row r="315">
      <c r="I315" s="72"/>
    </row>
    <row r="316">
      <c r="I316" s="72"/>
    </row>
    <row r="317">
      <c r="I317" s="72"/>
    </row>
    <row r="318">
      <c r="I318" s="72"/>
    </row>
    <row r="319">
      <c r="I319" s="72"/>
    </row>
    <row r="320">
      <c r="I320" s="72"/>
    </row>
    <row r="321">
      <c r="I321" s="72"/>
    </row>
    <row r="322">
      <c r="I322" s="72"/>
    </row>
    <row r="323">
      <c r="I323" s="72"/>
    </row>
    <row r="324">
      <c r="I324" s="72"/>
    </row>
    <row r="325">
      <c r="I325" s="72"/>
    </row>
    <row r="326">
      <c r="I326" s="72"/>
    </row>
    <row r="327">
      <c r="I327" s="72"/>
    </row>
    <row r="328">
      <c r="I328" s="72"/>
    </row>
    <row r="329">
      <c r="I329" s="72"/>
    </row>
    <row r="330">
      <c r="I330" s="72"/>
    </row>
    <row r="331">
      <c r="I331" s="72"/>
    </row>
    <row r="332">
      <c r="I332" s="72"/>
    </row>
    <row r="333">
      <c r="I333" s="72"/>
    </row>
    <row r="334">
      <c r="I334" s="72"/>
    </row>
    <row r="335">
      <c r="I335" s="72"/>
    </row>
    <row r="336">
      <c r="I336" s="72"/>
    </row>
    <row r="337">
      <c r="I337" s="72"/>
    </row>
    <row r="338">
      <c r="I338" s="72"/>
    </row>
    <row r="339">
      <c r="I339" s="72"/>
    </row>
    <row r="340">
      <c r="I340" s="72"/>
    </row>
    <row r="341">
      <c r="I341" s="72"/>
    </row>
    <row r="342">
      <c r="I342" s="72"/>
    </row>
    <row r="343">
      <c r="I343" s="72"/>
    </row>
    <row r="344">
      <c r="I344" s="72"/>
    </row>
    <row r="345">
      <c r="I345" s="72"/>
    </row>
    <row r="346">
      <c r="I346" s="72"/>
    </row>
    <row r="347">
      <c r="I347" s="72"/>
    </row>
    <row r="348">
      <c r="I348" s="72"/>
    </row>
    <row r="349">
      <c r="I349" s="72"/>
    </row>
    <row r="350">
      <c r="I350" s="72"/>
    </row>
    <row r="351">
      <c r="I351" s="72"/>
    </row>
    <row r="352">
      <c r="I352" s="72"/>
    </row>
    <row r="353">
      <c r="I353" s="72"/>
    </row>
    <row r="354">
      <c r="I354" s="72"/>
    </row>
    <row r="355">
      <c r="I355" s="72"/>
    </row>
    <row r="356">
      <c r="I356" s="72"/>
    </row>
    <row r="357">
      <c r="I357" s="72"/>
    </row>
    <row r="358">
      <c r="I358" s="72"/>
    </row>
    <row r="359">
      <c r="I359" s="72"/>
    </row>
    <row r="360">
      <c r="I360" s="72"/>
    </row>
    <row r="361">
      <c r="I361" s="72"/>
    </row>
    <row r="362">
      <c r="I362" s="72"/>
    </row>
    <row r="363">
      <c r="I363" s="72"/>
    </row>
    <row r="364">
      <c r="I364" s="72"/>
    </row>
    <row r="365">
      <c r="I365" s="72"/>
    </row>
    <row r="366">
      <c r="I366" s="72"/>
    </row>
    <row r="367">
      <c r="I367" s="72"/>
    </row>
    <row r="368">
      <c r="I368" s="72"/>
    </row>
    <row r="369">
      <c r="I369" s="72"/>
    </row>
    <row r="370">
      <c r="I370" s="72"/>
    </row>
    <row r="371">
      <c r="I371" s="72"/>
    </row>
    <row r="372">
      <c r="I372" s="72"/>
    </row>
    <row r="373">
      <c r="I373" s="72"/>
    </row>
    <row r="374">
      <c r="I374" s="72"/>
    </row>
    <row r="375">
      <c r="I375" s="72"/>
    </row>
    <row r="376">
      <c r="I376" s="72"/>
    </row>
    <row r="377">
      <c r="I377" s="72"/>
    </row>
    <row r="378">
      <c r="I378" s="72"/>
    </row>
    <row r="379">
      <c r="I379" s="72"/>
    </row>
    <row r="380">
      <c r="I380" s="72"/>
    </row>
    <row r="381">
      <c r="I381" s="72"/>
    </row>
    <row r="382">
      <c r="I382" s="72"/>
    </row>
    <row r="383">
      <c r="I383" s="72"/>
    </row>
    <row r="384">
      <c r="I384" s="72"/>
    </row>
    <row r="385">
      <c r="I385" s="72"/>
    </row>
    <row r="386">
      <c r="I386" s="72"/>
    </row>
    <row r="387">
      <c r="I387" s="72"/>
    </row>
    <row r="388">
      <c r="I388" s="72"/>
    </row>
    <row r="389">
      <c r="I389" s="72"/>
    </row>
    <row r="390">
      <c r="I390" s="72"/>
    </row>
    <row r="391">
      <c r="I391" s="72"/>
    </row>
    <row r="392">
      <c r="I392" s="72"/>
    </row>
    <row r="393">
      <c r="I393" s="72"/>
    </row>
    <row r="394">
      <c r="I394" s="72"/>
    </row>
    <row r="395">
      <c r="I395" s="72"/>
    </row>
    <row r="396">
      <c r="I396" s="72"/>
    </row>
    <row r="397">
      <c r="I397" s="72"/>
    </row>
    <row r="398">
      <c r="I398" s="72"/>
    </row>
    <row r="399">
      <c r="I399" s="72"/>
    </row>
    <row r="400">
      <c r="I400" s="72"/>
    </row>
    <row r="401">
      <c r="I401" s="72"/>
    </row>
    <row r="402">
      <c r="I402" s="72"/>
    </row>
    <row r="403">
      <c r="I403" s="72"/>
    </row>
    <row r="404">
      <c r="I404" s="72"/>
    </row>
    <row r="405">
      <c r="I405" s="72"/>
    </row>
    <row r="406">
      <c r="I406" s="72"/>
    </row>
    <row r="407">
      <c r="I407" s="72"/>
    </row>
    <row r="408">
      <c r="I408" s="72"/>
    </row>
    <row r="409">
      <c r="I409" s="72"/>
    </row>
    <row r="410">
      <c r="I410" s="72"/>
    </row>
    <row r="411">
      <c r="I411" s="72"/>
    </row>
    <row r="412">
      <c r="I412" s="72"/>
    </row>
    <row r="413">
      <c r="I413" s="72"/>
    </row>
    <row r="414">
      <c r="I414" s="72"/>
    </row>
    <row r="415">
      <c r="I415" s="72"/>
    </row>
    <row r="416">
      <c r="I416" s="72"/>
    </row>
    <row r="417">
      <c r="I417" s="72"/>
    </row>
    <row r="418">
      <c r="I418" s="72"/>
    </row>
    <row r="419">
      <c r="I419" s="72"/>
    </row>
    <row r="420">
      <c r="I420" s="72"/>
    </row>
    <row r="421">
      <c r="I421" s="72"/>
    </row>
    <row r="422">
      <c r="I422" s="72"/>
    </row>
    <row r="423">
      <c r="I423" s="72"/>
    </row>
    <row r="424">
      <c r="I424" s="72"/>
    </row>
    <row r="425">
      <c r="I425" s="72"/>
    </row>
    <row r="426">
      <c r="I426" s="72"/>
    </row>
    <row r="427">
      <c r="I427" s="72"/>
    </row>
    <row r="428">
      <c r="I428" s="72"/>
    </row>
    <row r="429">
      <c r="I429" s="72"/>
    </row>
    <row r="430">
      <c r="I430" s="72"/>
    </row>
    <row r="431">
      <c r="I431" s="72"/>
    </row>
    <row r="432">
      <c r="I432" s="72"/>
    </row>
    <row r="433">
      <c r="I433" s="72"/>
    </row>
    <row r="434">
      <c r="I434" s="72"/>
    </row>
    <row r="435">
      <c r="I435" s="72"/>
    </row>
    <row r="436">
      <c r="I436" s="72"/>
    </row>
    <row r="437">
      <c r="I437" s="72"/>
    </row>
    <row r="438">
      <c r="I438" s="72"/>
    </row>
    <row r="439">
      <c r="I439" s="72"/>
    </row>
    <row r="440">
      <c r="I440" s="72"/>
    </row>
    <row r="441">
      <c r="I441" s="72"/>
    </row>
    <row r="442">
      <c r="I442" s="72"/>
    </row>
    <row r="443">
      <c r="I443" s="72"/>
    </row>
    <row r="444">
      <c r="I444" s="72"/>
    </row>
    <row r="445">
      <c r="I445" s="72"/>
    </row>
    <row r="446">
      <c r="I446" s="72"/>
    </row>
    <row r="447">
      <c r="I447" s="72"/>
    </row>
    <row r="448">
      <c r="I448" s="72"/>
    </row>
    <row r="449">
      <c r="I449" s="72"/>
    </row>
    <row r="450">
      <c r="I450" s="72"/>
    </row>
    <row r="451">
      <c r="I451" s="72"/>
    </row>
    <row r="452">
      <c r="I452" s="72"/>
    </row>
    <row r="453">
      <c r="I453" s="72"/>
    </row>
    <row r="454">
      <c r="I454" s="72"/>
    </row>
    <row r="455">
      <c r="I455" s="72"/>
    </row>
    <row r="456">
      <c r="I456" s="72"/>
    </row>
    <row r="457">
      <c r="I457" s="72"/>
    </row>
    <row r="458">
      <c r="I458" s="72"/>
    </row>
    <row r="459">
      <c r="I459" s="72"/>
    </row>
    <row r="460">
      <c r="I460" s="72"/>
    </row>
    <row r="461">
      <c r="I461" s="72"/>
    </row>
    <row r="462">
      <c r="I462" s="72"/>
    </row>
    <row r="463">
      <c r="I463" s="72"/>
    </row>
    <row r="464">
      <c r="I464" s="72"/>
    </row>
    <row r="465">
      <c r="I465" s="72"/>
    </row>
    <row r="466">
      <c r="I466" s="72"/>
    </row>
    <row r="467">
      <c r="I467" s="72"/>
    </row>
    <row r="468">
      <c r="I468" s="72"/>
    </row>
    <row r="469">
      <c r="I469" s="72"/>
    </row>
    <row r="470">
      <c r="I470" s="72"/>
    </row>
    <row r="471">
      <c r="I471" s="72"/>
    </row>
    <row r="472">
      <c r="I472" s="72"/>
    </row>
    <row r="473">
      <c r="I473" s="72"/>
    </row>
    <row r="474">
      <c r="I474" s="72"/>
    </row>
    <row r="475">
      <c r="I475" s="72"/>
    </row>
    <row r="476">
      <c r="I476" s="72"/>
    </row>
    <row r="477">
      <c r="I477" s="72"/>
    </row>
    <row r="478">
      <c r="I478" s="72"/>
    </row>
    <row r="479">
      <c r="I479" s="72"/>
    </row>
    <row r="480">
      <c r="I480" s="72"/>
    </row>
    <row r="481">
      <c r="I481" s="72"/>
    </row>
    <row r="482">
      <c r="I482" s="72"/>
    </row>
    <row r="483">
      <c r="I483" s="72"/>
    </row>
    <row r="484">
      <c r="I484" s="72"/>
    </row>
    <row r="485">
      <c r="I485" s="72"/>
    </row>
    <row r="486">
      <c r="I486" s="72"/>
    </row>
    <row r="487">
      <c r="I487" s="72"/>
    </row>
    <row r="488">
      <c r="I488" s="72"/>
    </row>
    <row r="489">
      <c r="I489" s="72"/>
    </row>
    <row r="490">
      <c r="I490" s="72"/>
    </row>
    <row r="491">
      <c r="I491" s="72"/>
    </row>
    <row r="492">
      <c r="I492" s="72"/>
    </row>
    <row r="493">
      <c r="I493" s="72"/>
    </row>
    <row r="494">
      <c r="I494" s="72"/>
    </row>
    <row r="495">
      <c r="I495" s="72"/>
    </row>
    <row r="496">
      <c r="I496" s="72"/>
    </row>
    <row r="497">
      <c r="I497" s="72"/>
    </row>
    <row r="498">
      <c r="I498" s="72"/>
    </row>
    <row r="499">
      <c r="I499" s="72"/>
    </row>
    <row r="500">
      <c r="I500" s="72"/>
    </row>
    <row r="501">
      <c r="I501" s="72"/>
    </row>
    <row r="502">
      <c r="I502" s="72"/>
    </row>
    <row r="503">
      <c r="I503" s="72"/>
    </row>
    <row r="504">
      <c r="I504" s="72"/>
    </row>
    <row r="505">
      <c r="I505" s="72"/>
    </row>
    <row r="506">
      <c r="I506" s="72"/>
    </row>
    <row r="507">
      <c r="I507" s="72"/>
    </row>
    <row r="508">
      <c r="I508" s="72"/>
    </row>
    <row r="509">
      <c r="I509" s="72"/>
    </row>
    <row r="510">
      <c r="I510" s="72"/>
    </row>
    <row r="511">
      <c r="I511" s="72"/>
    </row>
    <row r="512">
      <c r="I512" s="72"/>
    </row>
    <row r="513">
      <c r="I513" s="72"/>
    </row>
    <row r="514">
      <c r="I514" s="72"/>
    </row>
    <row r="515">
      <c r="I515" s="72"/>
    </row>
    <row r="516">
      <c r="I516" s="72"/>
    </row>
    <row r="517">
      <c r="I517" s="72"/>
    </row>
    <row r="518">
      <c r="I518" s="72"/>
    </row>
    <row r="519">
      <c r="I519" s="72"/>
    </row>
    <row r="520">
      <c r="I520" s="72"/>
    </row>
    <row r="521">
      <c r="I521" s="72"/>
    </row>
    <row r="522">
      <c r="I522" s="72"/>
    </row>
    <row r="523">
      <c r="I523" s="72"/>
    </row>
    <row r="524">
      <c r="I524" s="72"/>
    </row>
    <row r="525">
      <c r="I525" s="72"/>
    </row>
    <row r="526">
      <c r="I526" s="72"/>
    </row>
    <row r="527">
      <c r="I527" s="72"/>
    </row>
    <row r="528">
      <c r="I528" s="72"/>
    </row>
    <row r="529">
      <c r="I529" s="72"/>
    </row>
    <row r="530">
      <c r="I530" s="72"/>
    </row>
    <row r="531">
      <c r="I531" s="72"/>
    </row>
    <row r="532">
      <c r="I532" s="72"/>
    </row>
    <row r="533">
      <c r="I533" s="72"/>
    </row>
    <row r="534">
      <c r="I534" s="72"/>
    </row>
    <row r="535">
      <c r="I535" s="72"/>
    </row>
    <row r="536">
      <c r="I536" s="72"/>
    </row>
    <row r="537">
      <c r="I537" s="72"/>
    </row>
    <row r="538">
      <c r="I538" s="72"/>
    </row>
    <row r="539">
      <c r="I539" s="72"/>
    </row>
    <row r="540">
      <c r="I540" s="72"/>
    </row>
    <row r="541">
      <c r="I541" s="72"/>
    </row>
    <row r="542">
      <c r="I542" s="72"/>
    </row>
    <row r="543">
      <c r="I543" s="72"/>
    </row>
    <row r="544">
      <c r="I544" s="72"/>
    </row>
    <row r="545">
      <c r="I545" s="72"/>
    </row>
    <row r="546">
      <c r="I546" s="72"/>
    </row>
    <row r="547">
      <c r="I547" s="72"/>
    </row>
    <row r="548">
      <c r="I548" s="72"/>
    </row>
    <row r="549">
      <c r="I549" s="72"/>
    </row>
    <row r="550">
      <c r="I550" s="72"/>
    </row>
    <row r="551">
      <c r="I551" s="72"/>
    </row>
    <row r="552">
      <c r="I552" s="72"/>
    </row>
    <row r="553">
      <c r="I553" s="72"/>
    </row>
    <row r="554">
      <c r="I554" s="72"/>
    </row>
    <row r="555">
      <c r="I555" s="72"/>
    </row>
    <row r="556">
      <c r="I556" s="72"/>
    </row>
    <row r="557">
      <c r="I557" s="72"/>
    </row>
    <row r="558">
      <c r="I558" s="72"/>
    </row>
    <row r="559">
      <c r="I559" s="72"/>
    </row>
    <row r="560">
      <c r="I560" s="72"/>
    </row>
    <row r="561">
      <c r="I561" s="72"/>
    </row>
    <row r="562">
      <c r="I562" s="72"/>
    </row>
    <row r="563">
      <c r="I563" s="72"/>
    </row>
    <row r="564">
      <c r="I564" s="72"/>
    </row>
    <row r="565">
      <c r="I565" s="72"/>
    </row>
    <row r="566">
      <c r="I566" s="72"/>
    </row>
    <row r="567">
      <c r="I567" s="72"/>
    </row>
    <row r="568">
      <c r="I568" s="72"/>
    </row>
    <row r="569">
      <c r="I569" s="72"/>
    </row>
    <row r="570">
      <c r="I570" s="72"/>
    </row>
    <row r="571">
      <c r="I571" s="72"/>
    </row>
    <row r="572">
      <c r="I572" s="72"/>
    </row>
    <row r="573">
      <c r="I573" s="72"/>
    </row>
    <row r="574">
      <c r="I574" s="72"/>
    </row>
    <row r="575">
      <c r="I575" s="72"/>
    </row>
    <row r="576">
      <c r="I576" s="72"/>
    </row>
    <row r="577">
      <c r="I577" s="72"/>
    </row>
    <row r="578">
      <c r="I578" s="72"/>
    </row>
    <row r="579">
      <c r="I579" s="72"/>
    </row>
    <row r="580">
      <c r="I580" s="72"/>
    </row>
    <row r="581">
      <c r="I581" s="72"/>
    </row>
    <row r="582">
      <c r="I582" s="72"/>
    </row>
    <row r="583">
      <c r="I583" s="72"/>
    </row>
    <row r="584">
      <c r="I584" s="72"/>
    </row>
    <row r="585">
      <c r="I585" s="72"/>
    </row>
    <row r="586">
      <c r="I586" s="72"/>
    </row>
    <row r="587">
      <c r="I587" s="72"/>
    </row>
    <row r="588">
      <c r="I588" s="72"/>
    </row>
    <row r="589">
      <c r="I589" s="72"/>
    </row>
    <row r="590">
      <c r="I590" s="72"/>
    </row>
    <row r="591">
      <c r="I591" s="72"/>
    </row>
    <row r="592">
      <c r="I592" s="72"/>
    </row>
    <row r="593">
      <c r="I593" s="72"/>
    </row>
    <row r="594">
      <c r="I594" s="72"/>
    </row>
    <row r="595">
      <c r="I595" s="72"/>
    </row>
    <row r="596">
      <c r="I596" s="72"/>
    </row>
    <row r="597">
      <c r="I597" s="72"/>
    </row>
    <row r="598">
      <c r="I598" s="72"/>
    </row>
    <row r="599">
      <c r="I599" s="72"/>
    </row>
    <row r="600">
      <c r="I600" s="72"/>
    </row>
    <row r="601">
      <c r="I601" s="72"/>
    </row>
    <row r="602">
      <c r="I602" s="72"/>
    </row>
    <row r="603">
      <c r="I603" s="72"/>
    </row>
    <row r="604">
      <c r="I604" s="72"/>
    </row>
    <row r="605">
      <c r="I605" s="72"/>
    </row>
    <row r="606">
      <c r="I606" s="72"/>
    </row>
    <row r="607">
      <c r="I607" s="72"/>
    </row>
    <row r="608">
      <c r="I608" s="72"/>
    </row>
    <row r="609">
      <c r="I609" s="72"/>
    </row>
    <row r="610">
      <c r="I610" s="72"/>
    </row>
    <row r="611">
      <c r="I611" s="72"/>
    </row>
    <row r="612">
      <c r="I612" s="72"/>
    </row>
    <row r="613">
      <c r="I613" s="72"/>
    </row>
    <row r="614">
      <c r="I614" s="72"/>
    </row>
    <row r="615">
      <c r="I615" s="72"/>
    </row>
    <row r="616">
      <c r="I616" s="72"/>
    </row>
    <row r="617">
      <c r="I617" s="72"/>
    </row>
    <row r="618">
      <c r="I618" s="72"/>
    </row>
    <row r="619">
      <c r="I619" s="72"/>
    </row>
    <row r="620">
      <c r="I620" s="72"/>
    </row>
    <row r="621">
      <c r="I621" s="72"/>
    </row>
    <row r="622">
      <c r="I622" s="72"/>
    </row>
    <row r="623">
      <c r="I623" s="72"/>
    </row>
    <row r="624">
      <c r="I624" s="72"/>
    </row>
    <row r="625">
      <c r="I625" s="72"/>
    </row>
    <row r="626">
      <c r="I626" s="72"/>
    </row>
    <row r="627">
      <c r="I627" s="72"/>
    </row>
    <row r="628">
      <c r="I628" s="72"/>
    </row>
    <row r="629">
      <c r="I629" s="72"/>
    </row>
    <row r="630">
      <c r="I630" s="72"/>
    </row>
    <row r="631">
      <c r="I631" s="72"/>
    </row>
    <row r="632">
      <c r="I632" s="72"/>
    </row>
    <row r="633">
      <c r="I633" s="72"/>
    </row>
    <row r="634">
      <c r="I634" s="72"/>
    </row>
    <row r="635">
      <c r="I635" s="72"/>
    </row>
    <row r="636">
      <c r="I636" s="72"/>
    </row>
    <row r="637">
      <c r="I637" s="72"/>
    </row>
    <row r="638">
      <c r="I638" s="72"/>
    </row>
    <row r="639">
      <c r="I639" s="72"/>
    </row>
    <row r="640">
      <c r="I640" s="72"/>
    </row>
    <row r="641">
      <c r="I641" s="72"/>
    </row>
    <row r="642">
      <c r="I642" s="72"/>
    </row>
    <row r="643">
      <c r="I643" s="72"/>
    </row>
    <row r="644">
      <c r="I644" s="72"/>
    </row>
    <row r="645">
      <c r="I645" s="72"/>
    </row>
    <row r="646">
      <c r="I646" s="72"/>
    </row>
    <row r="647">
      <c r="I647" s="72"/>
    </row>
    <row r="648">
      <c r="I648" s="72"/>
    </row>
    <row r="649">
      <c r="I649" s="72"/>
    </row>
    <row r="650">
      <c r="I650" s="72"/>
    </row>
    <row r="651">
      <c r="I651" s="72"/>
    </row>
    <row r="652">
      <c r="I652" s="72"/>
    </row>
    <row r="653">
      <c r="I653" s="72"/>
    </row>
    <row r="654">
      <c r="I654" s="72"/>
    </row>
    <row r="655">
      <c r="I655" s="72"/>
    </row>
    <row r="656">
      <c r="I656" s="72"/>
    </row>
    <row r="657">
      <c r="I657" s="72"/>
    </row>
    <row r="658">
      <c r="I658" s="72"/>
    </row>
    <row r="659">
      <c r="I659" s="72"/>
    </row>
    <row r="660">
      <c r="I660" s="72"/>
    </row>
    <row r="661">
      <c r="I661" s="72"/>
    </row>
    <row r="662">
      <c r="I662" s="72"/>
    </row>
    <row r="663">
      <c r="I663" s="72"/>
    </row>
    <row r="664">
      <c r="I664" s="72"/>
    </row>
    <row r="665">
      <c r="I665" s="72"/>
    </row>
    <row r="666">
      <c r="I666" s="72"/>
    </row>
    <row r="667">
      <c r="I667" s="72"/>
    </row>
    <row r="668">
      <c r="I668" s="72"/>
    </row>
    <row r="669">
      <c r="I669" s="72"/>
    </row>
    <row r="670">
      <c r="I670" s="72"/>
    </row>
    <row r="671">
      <c r="I671" s="72"/>
    </row>
    <row r="672">
      <c r="I672" s="72"/>
    </row>
    <row r="673">
      <c r="I673" s="72"/>
    </row>
    <row r="674">
      <c r="I674" s="72"/>
    </row>
    <row r="675">
      <c r="I675" s="72"/>
    </row>
    <row r="676">
      <c r="I676" s="72"/>
    </row>
    <row r="677">
      <c r="I677" s="72"/>
    </row>
    <row r="678">
      <c r="I678" s="72"/>
    </row>
    <row r="679">
      <c r="I679" s="72"/>
    </row>
    <row r="680">
      <c r="I680" s="72"/>
    </row>
    <row r="681">
      <c r="I681" s="72"/>
    </row>
    <row r="682">
      <c r="I682" s="72"/>
    </row>
    <row r="683">
      <c r="I683" s="72"/>
    </row>
    <row r="684">
      <c r="I684" s="72"/>
    </row>
    <row r="685">
      <c r="I685" s="72"/>
    </row>
    <row r="686">
      <c r="I686" s="72"/>
    </row>
    <row r="687">
      <c r="I687" s="72"/>
    </row>
    <row r="688">
      <c r="I688" s="72"/>
    </row>
    <row r="689">
      <c r="I689" s="72"/>
    </row>
    <row r="690">
      <c r="I690" s="72"/>
    </row>
    <row r="691">
      <c r="I691" s="72"/>
    </row>
    <row r="692">
      <c r="I692" s="72"/>
    </row>
    <row r="693">
      <c r="I693" s="72"/>
    </row>
    <row r="694">
      <c r="I694" s="72"/>
    </row>
    <row r="695">
      <c r="I695" s="72"/>
    </row>
    <row r="696">
      <c r="I696" s="72"/>
    </row>
    <row r="697">
      <c r="I697" s="72"/>
    </row>
    <row r="698">
      <c r="I698" s="72"/>
    </row>
    <row r="699">
      <c r="I699" s="72"/>
    </row>
    <row r="700">
      <c r="I700" s="72"/>
    </row>
    <row r="701">
      <c r="I701" s="72"/>
    </row>
    <row r="702">
      <c r="I702" s="72"/>
    </row>
    <row r="703">
      <c r="I703" s="72"/>
    </row>
    <row r="704">
      <c r="I704" s="72"/>
    </row>
    <row r="705">
      <c r="I705" s="72"/>
    </row>
    <row r="706">
      <c r="I706" s="72"/>
    </row>
    <row r="707">
      <c r="I707" s="72"/>
    </row>
    <row r="708">
      <c r="I708" s="72"/>
    </row>
    <row r="709">
      <c r="I709" s="72"/>
    </row>
    <row r="710">
      <c r="I710" s="72"/>
    </row>
    <row r="711">
      <c r="I711" s="72"/>
    </row>
    <row r="712">
      <c r="I712" s="72"/>
    </row>
    <row r="713">
      <c r="I713" s="72"/>
    </row>
    <row r="714">
      <c r="I714" s="72"/>
    </row>
    <row r="715">
      <c r="I715" s="72"/>
    </row>
    <row r="716">
      <c r="I716" s="72"/>
    </row>
    <row r="717">
      <c r="I717" s="72"/>
    </row>
    <row r="718">
      <c r="I718" s="72"/>
    </row>
    <row r="719">
      <c r="I719" s="72"/>
    </row>
    <row r="720">
      <c r="I720" s="72"/>
    </row>
    <row r="721">
      <c r="I721" s="72"/>
    </row>
    <row r="722">
      <c r="I722" s="72"/>
    </row>
    <row r="723">
      <c r="I723" s="72"/>
    </row>
    <row r="724">
      <c r="I724" s="72"/>
    </row>
    <row r="725">
      <c r="I725" s="72"/>
    </row>
    <row r="726">
      <c r="I726" s="72"/>
    </row>
    <row r="727">
      <c r="I727" s="72"/>
    </row>
    <row r="728">
      <c r="I728" s="72"/>
    </row>
    <row r="729">
      <c r="I729" s="72"/>
    </row>
    <row r="730">
      <c r="I730" s="72"/>
    </row>
    <row r="731">
      <c r="I731" s="72"/>
    </row>
    <row r="732">
      <c r="I732" s="72"/>
    </row>
    <row r="733">
      <c r="I733" s="72"/>
    </row>
    <row r="734">
      <c r="I734" s="72"/>
    </row>
    <row r="735">
      <c r="I735" s="72"/>
    </row>
    <row r="736">
      <c r="I736" s="72"/>
    </row>
    <row r="737">
      <c r="I737" s="72"/>
    </row>
    <row r="738">
      <c r="I738" s="72"/>
    </row>
    <row r="739">
      <c r="I739" s="72"/>
    </row>
    <row r="740">
      <c r="I740" s="72"/>
    </row>
    <row r="741">
      <c r="I741" s="72"/>
    </row>
    <row r="742">
      <c r="I742" s="72"/>
    </row>
    <row r="743">
      <c r="I743" s="72"/>
    </row>
    <row r="744">
      <c r="I744" s="72"/>
    </row>
    <row r="745">
      <c r="I745" s="72"/>
    </row>
    <row r="746">
      <c r="I746" s="72"/>
    </row>
    <row r="747">
      <c r="I747" s="72"/>
    </row>
    <row r="748">
      <c r="I748" s="72"/>
    </row>
    <row r="749">
      <c r="I749" s="72"/>
    </row>
    <row r="750">
      <c r="I750" s="72"/>
    </row>
    <row r="751">
      <c r="I751" s="72"/>
    </row>
    <row r="752">
      <c r="I752" s="72"/>
    </row>
    <row r="753">
      <c r="I753" s="72"/>
    </row>
    <row r="754">
      <c r="I754" s="72"/>
    </row>
    <row r="755">
      <c r="I755" s="72"/>
    </row>
    <row r="756">
      <c r="I756" s="72"/>
    </row>
    <row r="757">
      <c r="I757" s="72"/>
    </row>
    <row r="758">
      <c r="I758" s="72"/>
    </row>
    <row r="759">
      <c r="I759" s="72"/>
    </row>
    <row r="760">
      <c r="I760" s="72"/>
    </row>
    <row r="761">
      <c r="I761" s="72"/>
    </row>
    <row r="762">
      <c r="I762" s="72"/>
    </row>
    <row r="763">
      <c r="I763" s="72"/>
    </row>
    <row r="764">
      <c r="I764" s="72"/>
    </row>
    <row r="765">
      <c r="I765" s="72"/>
    </row>
    <row r="766">
      <c r="I766" s="72"/>
    </row>
    <row r="767">
      <c r="I767" s="72"/>
    </row>
    <row r="768">
      <c r="I768" s="72"/>
    </row>
    <row r="769">
      <c r="I769" s="72"/>
    </row>
    <row r="770">
      <c r="I770" s="72"/>
    </row>
    <row r="771">
      <c r="I771" s="72"/>
    </row>
    <row r="772">
      <c r="I772" s="72"/>
    </row>
    <row r="773">
      <c r="I773" s="72"/>
    </row>
    <row r="774">
      <c r="I774" s="72"/>
    </row>
    <row r="775">
      <c r="I775" s="72"/>
    </row>
    <row r="776">
      <c r="I776" s="72"/>
    </row>
    <row r="777">
      <c r="I777" s="72"/>
    </row>
    <row r="778">
      <c r="I778" s="72"/>
    </row>
    <row r="779">
      <c r="I779" s="72"/>
    </row>
    <row r="780">
      <c r="I780" s="72"/>
    </row>
    <row r="781">
      <c r="I781" s="72"/>
    </row>
    <row r="782">
      <c r="I782" s="72"/>
    </row>
    <row r="783">
      <c r="I783" s="72"/>
    </row>
    <row r="784">
      <c r="I784" s="72"/>
    </row>
    <row r="785">
      <c r="I785" s="72"/>
    </row>
    <row r="786">
      <c r="I786" s="72"/>
    </row>
    <row r="787">
      <c r="I787" s="72"/>
    </row>
    <row r="788">
      <c r="I788" s="72"/>
    </row>
    <row r="789">
      <c r="I789" s="72"/>
    </row>
    <row r="790">
      <c r="I790" s="72"/>
    </row>
    <row r="791">
      <c r="I791" s="72"/>
    </row>
    <row r="792">
      <c r="I792" s="72"/>
    </row>
    <row r="793">
      <c r="I793" s="72"/>
    </row>
    <row r="794">
      <c r="I794" s="72"/>
    </row>
    <row r="795">
      <c r="I795" s="72"/>
    </row>
    <row r="796">
      <c r="I796" s="72"/>
    </row>
    <row r="797">
      <c r="I797" s="72"/>
    </row>
    <row r="798">
      <c r="I798" s="72"/>
    </row>
    <row r="799">
      <c r="I799" s="72"/>
    </row>
    <row r="800">
      <c r="I800" s="72"/>
    </row>
    <row r="801">
      <c r="I801" s="72"/>
    </row>
    <row r="802">
      <c r="I802" s="72"/>
    </row>
    <row r="803">
      <c r="I803" s="72"/>
    </row>
    <row r="804">
      <c r="I804" s="72"/>
    </row>
    <row r="805">
      <c r="I805" s="72"/>
    </row>
    <row r="806">
      <c r="I806" s="72"/>
    </row>
    <row r="807">
      <c r="I807" s="72"/>
    </row>
    <row r="808">
      <c r="I808" s="72"/>
    </row>
    <row r="809">
      <c r="I809" s="72"/>
    </row>
    <row r="810">
      <c r="I810" s="72"/>
    </row>
    <row r="811">
      <c r="I811" s="72"/>
    </row>
    <row r="812">
      <c r="I812" s="72"/>
    </row>
    <row r="813">
      <c r="I813" s="72"/>
    </row>
    <row r="814">
      <c r="I814" s="72"/>
    </row>
    <row r="815">
      <c r="I815" s="72"/>
    </row>
    <row r="816">
      <c r="I816" s="72"/>
    </row>
    <row r="817">
      <c r="I817" s="72"/>
    </row>
    <row r="818">
      <c r="I818" s="72"/>
    </row>
    <row r="819">
      <c r="I819" s="72"/>
    </row>
    <row r="820">
      <c r="I820" s="72"/>
    </row>
    <row r="821">
      <c r="I821" s="72"/>
    </row>
    <row r="822">
      <c r="I822" s="72"/>
    </row>
    <row r="823">
      <c r="I823" s="72"/>
    </row>
    <row r="824">
      <c r="I824" s="72"/>
    </row>
    <row r="825">
      <c r="I825" s="72"/>
    </row>
    <row r="826">
      <c r="I826" s="72"/>
    </row>
    <row r="827">
      <c r="I827" s="72"/>
    </row>
    <row r="828">
      <c r="I828" s="72"/>
    </row>
    <row r="829">
      <c r="I829" s="72"/>
    </row>
    <row r="830">
      <c r="I830" s="72"/>
    </row>
    <row r="831">
      <c r="I831" s="72"/>
    </row>
    <row r="832">
      <c r="I832" s="72"/>
    </row>
    <row r="833">
      <c r="I833" s="72"/>
    </row>
    <row r="834">
      <c r="I834" s="72"/>
    </row>
    <row r="835">
      <c r="I835" s="72"/>
    </row>
    <row r="836">
      <c r="I836" s="72"/>
    </row>
    <row r="837">
      <c r="I837" s="72"/>
    </row>
    <row r="838">
      <c r="I838" s="72"/>
    </row>
    <row r="839">
      <c r="I839" s="72"/>
    </row>
    <row r="840">
      <c r="I840" s="72"/>
    </row>
    <row r="841">
      <c r="I841" s="72"/>
    </row>
    <row r="842">
      <c r="I842" s="72"/>
    </row>
    <row r="843">
      <c r="I843" s="72"/>
    </row>
    <row r="844">
      <c r="I844" s="72"/>
    </row>
    <row r="845">
      <c r="I845" s="72"/>
    </row>
    <row r="846">
      <c r="I846" s="72"/>
    </row>
    <row r="847">
      <c r="I847" s="72"/>
    </row>
    <row r="848">
      <c r="I848" s="72"/>
    </row>
    <row r="849">
      <c r="I849" s="72"/>
    </row>
    <row r="850">
      <c r="I850" s="72"/>
    </row>
    <row r="851">
      <c r="I851" s="72"/>
    </row>
    <row r="852">
      <c r="I852" s="72"/>
    </row>
    <row r="853">
      <c r="I853" s="72"/>
    </row>
    <row r="854">
      <c r="I854" s="72"/>
    </row>
    <row r="855">
      <c r="I855" s="72"/>
    </row>
    <row r="856">
      <c r="I856" s="72"/>
    </row>
    <row r="857">
      <c r="I857" s="72"/>
    </row>
    <row r="858">
      <c r="I858" s="72"/>
    </row>
    <row r="859">
      <c r="I859" s="72"/>
    </row>
    <row r="860">
      <c r="I860" s="72"/>
    </row>
    <row r="861">
      <c r="I861" s="72"/>
    </row>
    <row r="862">
      <c r="I862" s="72"/>
    </row>
    <row r="863">
      <c r="I863" s="72"/>
    </row>
    <row r="864">
      <c r="I864" s="72"/>
    </row>
    <row r="865">
      <c r="I865" s="72"/>
    </row>
    <row r="866">
      <c r="I866" s="72"/>
    </row>
    <row r="867">
      <c r="I867" s="72"/>
    </row>
    <row r="868">
      <c r="I868" s="72"/>
    </row>
    <row r="869">
      <c r="I869" s="72"/>
    </row>
    <row r="870">
      <c r="I870" s="72"/>
    </row>
    <row r="871">
      <c r="I871" s="72"/>
    </row>
    <row r="872">
      <c r="I872" s="72"/>
    </row>
    <row r="873">
      <c r="I873" s="72"/>
    </row>
    <row r="874">
      <c r="I874" s="72"/>
    </row>
    <row r="875">
      <c r="I875" s="72"/>
    </row>
    <row r="876">
      <c r="I876" s="72"/>
    </row>
    <row r="877">
      <c r="I877" s="72"/>
    </row>
    <row r="878">
      <c r="I878" s="72"/>
    </row>
    <row r="879">
      <c r="I879" s="72"/>
    </row>
    <row r="880">
      <c r="I880" s="72"/>
    </row>
    <row r="881">
      <c r="I881" s="72"/>
    </row>
    <row r="882">
      <c r="I882" s="72"/>
    </row>
    <row r="883">
      <c r="I883" s="72"/>
    </row>
    <row r="884">
      <c r="I884" s="72"/>
    </row>
    <row r="885">
      <c r="I885" s="72"/>
    </row>
    <row r="886">
      <c r="I886" s="72"/>
    </row>
    <row r="887">
      <c r="I887" s="72"/>
    </row>
    <row r="888">
      <c r="I888" s="72"/>
    </row>
    <row r="889">
      <c r="I889" s="72"/>
    </row>
    <row r="890">
      <c r="I890" s="72"/>
    </row>
    <row r="891">
      <c r="I891" s="72"/>
    </row>
    <row r="892">
      <c r="I892" s="72"/>
    </row>
    <row r="893">
      <c r="I893" s="72"/>
    </row>
    <row r="894">
      <c r="I894" s="72"/>
    </row>
    <row r="895">
      <c r="I895" s="72"/>
    </row>
    <row r="896">
      <c r="I896" s="72"/>
    </row>
    <row r="897">
      <c r="I897" s="72"/>
    </row>
    <row r="898">
      <c r="I898" s="72"/>
    </row>
    <row r="899">
      <c r="I899" s="72"/>
    </row>
    <row r="900">
      <c r="I900" s="72"/>
    </row>
    <row r="901">
      <c r="I901" s="72"/>
    </row>
    <row r="902">
      <c r="I902" s="72"/>
    </row>
    <row r="903">
      <c r="I903" s="72"/>
    </row>
    <row r="904">
      <c r="I904" s="72"/>
    </row>
    <row r="905">
      <c r="I905" s="72"/>
    </row>
    <row r="906">
      <c r="I906" s="72"/>
    </row>
    <row r="907">
      <c r="I907" s="72"/>
    </row>
    <row r="908">
      <c r="I908" s="72"/>
    </row>
    <row r="909">
      <c r="I909" s="72"/>
    </row>
    <row r="910">
      <c r="I910" s="72"/>
    </row>
    <row r="911">
      <c r="I911" s="72"/>
    </row>
    <row r="912">
      <c r="I912" s="72"/>
    </row>
    <row r="913">
      <c r="I913" s="72"/>
    </row>
    <row r="914">
      <c r="I914" s="72"/>
    </row>
    <row r="915">
      <c r="I915" s="72"/>
    </row>
    <row r="916">
      <c r="I916" s="72"/>
    </row>
    <row r="917">
      <c r="I917" s="72"/>
    </row>
    <row r="918">
      <c r="I918" s="72"/>
    </row>
    <row r="919">
      <c r="I919" s="72"/>
    </row>
    <row r="920">
      <c r="I920" s="72"/>
    </row>
    <row r="921">
      <c r="I921" s="72"/>
    </row>
    <row r="922">
      <c r="I922" s="72"/>
    </row>
    <row r="923">
      <c r="I923" s="72"/>
    </row>
    <row r="924">
      <c r="I924" s="72"/>
    </row>
    <row r="925">
      <c r="I925" s="72"/>
    </row>
    <row r="926">
      <c r="I926" s="72"/>
    </row>
    <row r="927">
      <c r="I927" s="72"/>
    </row>
    <row r="928">
      <c r="I928" s="72"/>
    </row>
    <row r="929">
      <c r="I929" s="72"/>
    </row>
    <row r="930">
      <c r="I930" s="72"/>
    </row>
    <row r="931">
      <c r="I931" s="72"/>
    </row>
    <row r="932">
      <c r="I932" s="72"/>
    </row>
    <row r="933">
      <c r="I933" s="72"/>
    </row>
    <row r="934">
      <c r="I934" s="72"/>
    </row>
    <row r="935">
      <c r="I935" s="72"/>
    </row>
    <row r="936">
      <c r="I936" s="72"/>
    </row>
    <row r="937">
      <c r="I937" s="72"/>
    </row>
    <row r="938">
      <c r="I938" s="72"/>
    </row>
    <row r="939">
      <c r="I939" s="72"/>
    </row>
    <row r="940">
      <c r="I940" s="72"/>
    </row>
    <row r="941">
      <c r="I941" s="72"/>
    </row>
    <row r="942">
      <c r="I942" s="72"/>
    </row>
    <row r="943">
      <c r="I943" s="72"/>
    </row>
    <row r="944">
      <c r="I944" s="72"/>
    </row>
    <row r="945">
      <c r="I945" s="72"/>
    </row>
    <row r="946">
      <c r="I946" s="72"/>
    </row>
    <row r="947">
      <c r="I947" s="72"/>
    </row>
    <row r="948">
      <c r="I948" s="72"/>
    </row>
    <row r="949">
      <c r="I949" s="72"/>
    </row>
    <row r="950">
      <c r="I950" s="72"/>
    </row>
    <row r="951">
      <c r="I951" s="72"/>
    </row>
    <row r="952">
      <c r="I952" s="72"/>
    </row>
    <row r="953">
      <c r="I953" s="72"/>
    </row>
    <row r="954">
      <c r="I954" s="72"/>
    </row>
    <row r="955">
      <c r="I955" s="72"/>
    </row>
    <row r="956">
      <c r="I956" s="72"/>
    </row>
    <row r="957">
      <c r="I957" s="72"/>
    </row>
    <row r="958">
      <c r="I958" s="72"/>
    </row>
    <row r="959">
      <c r="I959" s="72"/>
    </row>
    <row r="960">
      <c r="I960" s="72"/>
    </row>
    <row r="961">
      <c r="I961" s="72"/>
    </row>
    <row r="962">
      <c r="I962" s="72"/>
    </row>
    <row r="963">
      <c r="I963" s="72"/>
    </row>
    <row r="964">
      <c r="I964" s="72"/>
    </row>
    <row r="965">
      <c r="I965" s="72"/>
    </row>
    <row r="966">
      <c r="I966" s="72"/>
    </row>
    <row r="967">
      <c r="I967" s="72"/>
    </row>
    <row r="968">
      <c r="I968" s="72"/>
    </row>
    <row r="969">
      <c r="I969" s="72"/>
    </row>
    <row r="970">
      <c r="I970" s="72"/>
    </row>
    <row r="971">
      <c r="I971" s="72"/>
    </row>
    <row r="972">
      <c r="I972" s="72"/>
    </row>
    <row r="973">
      <c r="I973" s="72"/>
    </row>
    <row r="974">
      <c r="I974" s="72"/>
    </row>
    <row r="975">
      <c r="I975" s="72"/>
    </row>
    <row r="976">
      <c r="I976" s="72"/>
    </row>
    <row r="977">
      <c r="I977" s="72"/>
    </row>
    <row r="978">
      <c r="I978" s="72"/>
    </row>
    <row r="979">
      <c r="I979" s="72"/>
    </row>
    <row r="980">
      <c r="I980" s="72"/>
    </row>
    <row r="981">
      <c r="I981" s="72"/>
    </row>
    <row r="982">
      <c r="I982" s="72"/>
    </row>
    <row r="983">
      <c r="I983" s="72"/>
    </row>
    <row r="984">
      <c r="I984" s="72"/>
    </row>
    <row r="985">
      <c r="I985" s="72"/>
    </row>
    <row r="986">
      <c r="I986" s="72"/>
    </row>
    <row r="987">
      <c r="I987" s="72"/>
    </row>
    <row r="988">
      <c r="I988" s="72"/>
    </row>
    <row r="989">
      <c r="I989" s="72"/>
    </row>
    <row r="990">
      <c r="I990" s="72"/>
    </row>
  </sheetData>
  <dataValidations>
    <dataValidation type="custom" allowBlank="1" showDropDown="1" sqref="B2:J8">
      <formula1>AND(ISNUMBER(B2),(NOT(OR(NOT(ISERROR(DATEVALUE(B2))), AND(ISNUMBER(B2), LEFT(CELL("format", B2))="D")))))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75"/>
    <col customWidth="1" min="2" max="2" width="18.25"/>
    <col customWidth="1" min="3" max="3" width="24.25"/>
    <col customWidth="1" min="4" max="4" width="32.75"/>
    <col customWidth="1" min="5" max="5" width="15.13"/>
    <col customWidth="1" min="6" max="7" width="22.75"/>
    <col customWidth="1" min="8" max="8" width="18.5"/>
    <col customWidth="1" min="9" max="9" width="17.13"/>
    <col customWidth="1" min="10" max="10" width="20.13"/>
    <col customWidth="1" min="11" max="11" width="19.0"/>
    <col customWidth="1" min="12" max="12" width="27.0"/>
    <col customWidth="1" min="13" max="13" width="26.13"/>
    <col customWidth="1" min="14" max="14" width="35.0"/>
    <col customWidth="1" min="15" max="15" width="18.63"/>
    <col customWidth="1" min="16" max="16" width="26.5"/>
    <col customWidth="1" min="17" max="17" width="19.5"/>
    <col customWidth="1" min="19" max="19" width="21.13"/>
    <col customWidth="1" min="20" max="20" width="6.63"/>
    <col customWidth="1" min="22" max="22" width="20.38"/>
    <col customWidth="1" min="24" max="24" width="13.75"/>
    <col customWidth="1" min="25" max="25" width="21.88"/>
    <col customWidth="1" min="28" max="28" width="20.13"/>
  </cols>
  <sheetData>
    <row r="1" ht="22.5" customHeight="1">
      <c r="A1" s="45" t="s">
        <v>79</v>
      </c>
      <c r="B1" s="45" t="s">
        <v>226</v>
      </c>
      <c r="C1" s="45" t="s">
        <v>80</v>
      </c>
      <c r="D1" s="45" t="s">
        <v>81</v>
      </c>
      <c r="E1" s="45" t="s">
        <v>2</v>
      </c>
      <c r="F1" s="73" t="s">
        <v>227</v>
      </c>
      <c r="G1" s="46" t="s">
        <v>228</v>
      </c>
      <c r="H1" s="46" t="s">
        <v>229</v>
      </c>
      <c r="I1" s="46" t="s">
        <v>230</v>
      </c>
      <c r="J1" s="74" t="s">
        <v>231</v>
      </c>
      <c r="K1" s="74" t="s">
        <v>232</v>
      </c>
      <c r="L1" s="74" t="s">
        <v>233</v>
      </c>
      <c r="M1" s="46" t="s">
        <v>234</v>
      </c>
      <c r="N1" s="46" t="s">
        <v>235</v>
      </c>
      <c r="O1" s="46" t="s">
        <v>236</v>
      </c>
      <c r="P1" s="46" t="s">
        <v>237</v>
      </c>
      <c r="Q1" s="46" t="s">
        <v>238</v>
      </c>
      <c r="Y1" s="75" t="s">
        <v>239</v>
      </c>
      <c r="AB1" s="76" t="s">
        <v>240</v>
      </c>
      <c r="AC1" s="75">
        <v>0.0</v>
      </c>
      <c r="AD1" s="75"/>
      <c r="AE1" s="75"/>
      <c r="AF1" s="75"/>
      <c r="AG1" s="75"/>
      <c r="AH1" s="75"/>
      <c r="AI1" s="75"/>
      <c r="AJ1" s="75"/>
    </row>
    <row r="2" ht="22.5" customHeight="1">
      <c r="A2" s="77" t="s">
        <v>241</v>
      </c>
      <c r="B2" s="3" t="s">
        <v>86</v>
      </c>
      <c r="C2" s="48">
        <f>((vibhanshu!C2*vibhanshu!D2)+(manjari!C2*manjari!D2)+(HUF!B3*HUF!C3))/D2</f>
        <v>2699.565217</v>
      </c>
      <c r="D2" s="48">
        <f>vibhanshu!D2+manjari!D2+HUF!C3</f>
        <v>230</v>
      </c>
      <c r="E2" s="63">
        <f>IFERROR(__xludf.DUMMYFUNCTION("GOOGLEFINANCE(B2,""PRICE"")"),17750.0)</f>
        <v>17750</v>
      </c>
      <c r="F2" s="47">
        <f>IFERROR(__xludf.DUMMYFUNCTION("GOOGLEFINANCE(B2,""MARKETCAP"")/10000000"),22773.037)</f>
        <v>22773.037</v>
      </c>
      <c r="G2" s="48">
        <f t="shared" ref="G2:G26" si="1">C2*D2</f>
        <v>620900</v>
      </c>
      <c r="H2" s="48">
        <f t="shared" ref="H2:H26" si="2">E2*D2</f>
        <v>4082500</v>
      </c>
      <c r="I2" s="78"/>
      <c r="J2" s="79">
        <f t="shared" ref="J2:J26" si="3">(E2-C2)/C2</f>
        <v>5.575132872</v>
      </c>
      <c r="K2" s="49">
        <f t="shared" ref="K2:K26" si="4">H2/H$46</f>
        <v>0.08102321023</v>
      </c>
      <c r="L2" s="49">
        <f t="shared" ref="L2:L26" si="5">H2/H$46</f>
        <v>0.08102321023</v>
      </c>
      <c r="M2" s="80">
        <f>IFERROR(__xludf.DUMMYFUNCTION("GOOGLEFINANCE(B2,""pe"")"),127.13)</f>
        <v>127.13</v>
      </c>
      <c r="N2" s="48">
        <f t="shared" ref="N2:N26" si="6">if((P2*D2-F$49)&lt;0,0,((P2*D2)-F$49))</f>
        <v>4071810</v>
      </c>
      <c r="O2" s="48">
        <f t="shared" ref="O2:O26" si="7">N2/D2</f>
        <v>17703.52174</v>
      </c>
      <c r="P2" s="81">
        <f>IFERROR(__xludf.DUMMYFUNCTION("index(sortn(GoogleFinance(B2,""high"",DATE(2020,1,1), TODAY(),""DAILY""),2,1,2,0),2,2)"),19747.0)</f>
        <v>19747</v>
      </c>
      <c r="Q2" s="4" t="b">
        <f t="shared" ref="Q2:Q26" si="8">IF(E2&gt;O2,true,false)</f>
        <v>1</v>
      </c>
      <c r="V2" s="75" t="s">
        <v>242</v>
      </c>
      <c r="Y2" s="8" t="s">
        <v>219</v>
      </c>
      <c r="Z2" s="27">
        <f>K4</f>
        <v>0.01680947867</v>
      </c>
      <c r="AB2" s="8" t="s">
        <v>40</v>
      </c>
      <c r="AC2" s="8">
        <v>1.0</v>
      </c>
      <c r="AD2" s="27">
        <f>T20</f>
        <v>0.08102321023</v>
      </c>
    </row>
    <row r="3" ht="22.5" customHeight="1">
      <c r="A3" s="82" t="s">
        <v>243</v>
      </c>
      <c r="B3" s="83" t="s">
        <v>15</v>
      </c>
      <c r="C3" s="84">
        <f>((vibhanshu!C3*vibhanshu!D3)+(manjari!C3*manjari!D3)+(HUF!B2*HUF!C2))/D3</f>
        <v>765.0796891</v>
      </c>
      <c r="D3" s="85">
        <f>vibhanshu!D3+manjari!D3+HUF!C2</f>
        <v>1846</v>
      </c>
      <c r="E3" s="63">
        <f>IFERROR(__xludf.DUMMYFUNCTION("GOOGLEFINANCE(B3,""PRICE"")"),1820.0)</f>
        <v>1820</v>
      </c>
      <c r="F3" s="86">
        <f>IFERROR(__xludf.DUMMYFUNCTION("GOOGLEFINANCE(B3,""MARKETCAP"")/10000000"),36964.1636)</f>
        <v>36964.1636</v>
      </c>
      <c r="G3" s="84">
        <f t="shared" si="1"/>
        <v>1412337.106</v>
      </c>
      <c r="H3" s="48">
        <f t="shared" si="2"/>
        <v>3359720</v>
      </c>
      <c r="I3" s="87"/>
      <c r="J3" s="88">
        <f t="shared" si="3"/>
        <v>1.378837167</v>
      </c>
      <c r="K3" s="89">
        <f t="shared" si="4"/>
        <v>0.06667857927</v>
      </c>
      <c r="L3" s="89">
        <f t="shared" si="5"/>
        <v>0.06667857927</v>
      </c>
      <c r="M3" s="90">
        <f>IFERROR(__xludf.DUMMYFUNCTION("GOOGLEFINANCE(B3,""pe"")"),47.38)</f>
        <v>47.38</v>
      </c>
      <c r="N3" s="84">
        <f t="shared" si="6"/>
        <v>3905389.2</v>
      </c>
      <c r="O3" s="84">
        <f t="shared" si="7"/>
        <v>2115.59545</v>
      </c>
      <c r="P3" s="91">
        <f>IFERROR(__xludf.DUMMYFUNCTION("index(sortn(GoogleFinance(B3,""high"",DATE(2020,1,1), TODAY(),""DAILY""),2,1,2,0),2,2)"),2370.2)</f>
        <v>2370.2</v>
      </c>
      <c r="Q3" s="92" t="b">
        <f t="shared" si="8"/>
        <v>0</v>
      </c>
      <c r="S3" s="75" t="s">
        <v>244</v>
      </c>
      <c r="T3" s="93">
        <f>T9+T5</f>
        <v>0.04458310826</v>
      </c>
      <c r="AB3" s="8" t="s">
        <v>67</v>
      </c>
      <c r="AC3" s="8">
        <f t="shared" ref="AC3:AC13" si="9">AC2+1</f>
        <v>2</v>
      </c>
      <c r="AD3" s="27">
        <f>Z11</f>
        <v>0.06667857927</v>
      </c>
    </row>
    <row r="4" ht="22.5" customHeight="1">
      <c r="A4" s="82" t="s">
        <v>245</v>
      </c>
      <c r="B4" s="94" t="s">
        <v>13</v>
      </c>
      <c r="C4" s="84">
        <f>((manjari!D4*manjari!C4)+(HUF!C4*HUF!B4))/D4</f>
        <v>186.0757182</v>
      </c>
      <c r="D4" s="84">
        <f>HUF!C4+manjari!D4</f>
        <v>5341</v>
      </c>
      <c r="E4" s="63">
        <f>IFERROR(__xludf.DUMMYFUNCTION("GOOGLEFINANCE(B4,""PRICE"")"),158.58)</f>
        <v>158.58</v>
      </c>
      <c r="F4" s="86">
        <f>IFERROR(__xludf.DUMMYFUNCTION("GOOGLEFINANCE(B4,""MARKETCAP"")/10000000"),3522.6121132)</f>
        <v>3522.612113</v>
      </c>
      <c r="G4" s="84">
        <f t="shared" si="1"/>
        <v>993830.411</v>
      </c>
      <c r="H4" s="48">
        <f t="shared" si="2"/>
        <v>846975.78</v>
      </c>
      <c r="I4" s="95">
        <v>45352.0</v>
      </c>
      <c r="J4" s="89">
        <f t="shared" si="3"/>
        <v>-0.1477662883</v>
      </c>
      <c r="K4" s="89">
        <f t="shared" si="4"/>
        <v>0.01680947867</v>
      </c>
      <c r="L4" s="89">
        <f t="shared" si="5"/>
        <v>0.01680947867</v>
      </c>
      <c r="M4" s="90">
        <f>IFERROR(__xludf.DUMMYFUNCTION("GOOGLEFINANCE(B4,""pe"")"),16.62)</f>
        <v>16.62</v>
      </c>
      <c r="N4" s="84">
        <f t="shared" si="6"/>
        <v>889284.5</v>
      </c>
      <c r="O4" s="84">
        <f t="shared" si="7"/>
        <v>166.5014978</v>
      </c>
      <c r="P4" s="91">
        <f>IFERROR(__xludf.DUMMYFUNCTION("index(sortn(GoogleFinance(B4,""high"",DATE(2020,1,1), TODAY(),""DAILY""),2,1,2,0),2,2)"),254.5)</f>
        <v>254.5</v>
      </c>
      <c r="Q4" s="92" t="b">
        <f t="shared" si="8"/>
        <v>0</v>
      </c>
      <c r="S4" s="75" t="s">
        <v>246</v>
      </c>
      <c r="T4" s="93">
        <f>T8+T7</f>
        <v>0.08368164477</v>
      </c>
      <c r="Z4" s="93">
        <f>SUM(Z2:Z3)</f>
        <v>0.01680947867</v>
      </c>
      <c r="AB4" s="8" t="s">
        <v>200</v>
      </c>
      <c r="AC4" s="8">
        <f t="shared" si="9"/>
        <v>3</v>
      </c>
      <c r="AD4" s="27">
        <f>Z4</f>
        <v>0.01680947867</v>
      </c>
    </row>
    <row r="5" ht="22.5" customHeight="1">
      <c r="A5" s="96" t="s">
        <v>247</v>
      </c>
      <c r="B5" s="3" t="s">
        <v>89</v>
      </c>
      <c r="C5" s="48">
        <f>((vibhanshu!C4*vibhanshu!D4)+(manjari!C5*manjari!D5)+(HUF!B5*HUF!C5))/D5</f>
        <v>134.8056851</v>
      </c>
      <c r="D5" s="48">
        <f>manjari!D5+vibhanshu!D4+HUF!C5</f>
        <v>15180</v>
      </c>
      <c r="E5" s="63">
        <f>IFERROR(__xludf.DUMMYFUNCTION("GOOGLEFINANCE(B5,""PRICE"")"),145.37)</f>
        <v>145.37</v>
      </c>
      <c r="F5" s="47">
        <f>IFERROR(__xludf.DUMMYFUNCTION("GOOGLEFINANCE(B5,""MARKETCAP"")/10000000"),13904.1486823)</f>
        <v>13904.14868</v>
      </c>
      <c r="G5" s="48">
        <f t="shared" si="1"/>
        <v>2046350.3</v>
      </c>
      <c r="H5" s="48">
        <f t="shared" si="2"/>
        <v>2206716.6</v>
      </c>
      <c r="I5" s="97">
        <v>45566.0</v>
      </c>
      <c r="J5" s="49">
        <f t="shared" si="3"/>
        <v>0.07836698315</v>
      </c>
      <c r="K5" s="49">
        <f t="shared" si="4"/>
        <v>0.04379553289</v>
      </c>
      <c r="L5" s="49">
        <f t="shared" si="5"/>
        <v>0.04379553289</v>
      </c>
      <c r="M5" s="80">
        <f>IFERROR(__xludf.DUMMYFUNCTION("GOOGLEFINANCE(B5,""pe"")"),11.16)</f>
        <v>11.16</v>
      </c>
      <c r="N5" s="48">
        <f t="shared" si="6"/>
        <v>2562964</v>
      </c>
      <c r="O5" s="48">
        <f t="shared" si="7"/>
        <v>168.8382082</v>
      </c>
      <c r="P5" s="81">
        <f>IFERROR(__xludf.DUMMYFUNCTION("index(sortn(GoogleFinance(B5,""high"",DATE(2020,1,1), TODAY(),""DAILY""),2,1,2,0),2,2)"),199.8)</f>
        <v>199.8</v>
      </c>
      <c r="Q5" s="4" t="b">
        <f t="shared" si="8"/>
        <v>0</v>
      </c>
      <c r="AB5" s="8" t="s">
        <v>59</v>
      </c>
      <c r="AC5" s="8">
        <f t="shared" si="9"/>
        <v>4</v>
      </c>
      <c r="AD5" s="27">
        <f>T19</f>
        <v>0.07975613226</v>
      </c>
    </row>
    <row r="6" ht="22.5" customHeight="1">
      <c r="A6" s="96" t="s">
        <v>248</v>
      </c>
      <c r="B6" s="3" t="s">
        <v>91</v>
      </c>
      <c r="C6" s="48">
        <f>((vibhanshu!C6*vibhanshu!D6)+(HUF!B9*HUF!C9))/D6</f>
        <v>923.4743671</v>
      </c>
      <c r="D6" s="48">
        <f>vibhanshu!D6+HUF!C9</f>
        <v>1580</v>
      </c>
      <c r="E6" s="63">
        <f>IFERROR(__xludf.DUMMYFUNCTION("GOOGLEFINANCE(B6,""PRICE"")"),826.0)</f>
        <v>826</v>
      </c>
      <c r="F6" s="47">
        <f>IFERROR(__xludf.DUMMYFUNCTION("GOOGLEFINANCE(B6,""MARKETCAP"")/10000000"),1745.009353)</f>
        <v>1745.009353</v>
      </c>
      <c r="G6" s="48">
        <f t="shared" si="1"/>
        <v>1459089.5</v>
      </c>
      <c r="H6" s="48">
        <f t="shared" si="2"/>
        <v>1305080</v>
      </c>
      <c r="I6" s="97">
        <v>45597.0</v>
      </c>
      <c r="J6" s="49">
        <f t="shared" si="3"/>
        <v>-0.1055517842</v>
      </c>
      <c r="K6" s="49">
        <f t="shared" si="4"/>
        <v>0.02590122994</v>
      </c>
      <c r="L6" s="49">
        <f t="shared" si="5"/>
        <v>0.02590122994</v>
      </c>
      <c r="M6" s="80">
        <f>IFERROR(__xludf.DUMMYFUNCTION("GOOGLEFINANCE(B6,""pe"")"),26.26)</f>
        <v>26.26</v>
      </c>
      <c r="N6" s="48">
        <f t="shared" si="6"/>
        <v>1423235</v>
      </c>
      <c r="O6" s="48">
        <f t="shared" si="7"/>
        <v>900.7816456</v>
      </c>
      <c r="P6" s="81">
        <f>IFERROR(__xludf.DUMMYFUNCTION("index(sortn(GoogleFinance(B6,""high"",DATE(2020,1,1), TODAY(),""DAILY""),2,1,2,0),2,2)"),1198.25)</f>
        <v>1198.25</v>
      </c>
      <c r="Q6" s="4" t="b">
        <f t="shared" si="8"/>
        <v>0</v>
      </c>
      <c r="S6" s="8" t="s">
        <v>201</v>
      </c>
      <c r="T6" s="27">
        <f>K5</f>
        <v>0.04379553289</v>
      </c>
      <c r="W6" s="93">
        <f>SUM(W3:W4)</f>
        <v>0</v>
      </c>
      <c r="Y6" s="75" t="s">
        <v>249</v>
      </c>
      <c r="AB6" s="8" t="s">
        <v>250</v>
      </c>
      <c r="AC6" s="8">
        <f t="shared" si="9"/>
        <v>5</v>
      </c>
      <c r="AD6" s="27">
        <f>T9</f>
        <v>0.04458310826</v>
      </c>
    </row>
    <row r="7" ht="22.5" customHeight="1">
      <c r="A7" s="98" t="s">
        <v>251</v>
      </c>
      <c r="B7" s="3" t="s">
        <v>90</v>
      </c>
      <c r="C7" s="48">
        <f>((vibhanshu!C5*vibhanshu!D5)+(manjari!C8*manjari!D8)+(HUF!B6*HUF!C6))/D7</f>
        <v>635.9722378</v>
      </c>
      <c r="D7" s="48">
        <f>manjari!D8+vibhanshu!D5+HUF!C6</f>
        <v>2422</v>
      </c>
      <c r="E7" s="63">
        <f>IFERROR(__xludf.DUMMYFUNCTION("GOOGLEFINANCE(B7,""PRICE"")"),522.5)</f>
        <v>522.5</v>
      </c>
      <c r="F7" s="47">
        <f>IFERROR(__xludf.DUMMYFUNCTION("GOOGLEFINANCE(B7,""MARKETCAP"")/10000000"),2266.1208784)</f>
        <v>2266.120878</v>
      </c>
      <c r="G7" s="48">
        <f t="shared" si="1"/>
        <v>1540324.76</v>
      </c>
      <c r="H7" s="48">
        <f t="shared" si="2"/>
        <v>1265495</v>
      </c>
      <c r="I7" s="97">
        <v>45598.0</v>
      </c>
      <c r="J7" s="49">
        <f t="shared" si="3"/>
        <v>-0.1784232567</v>
      </c>
      <c r="K7" s="49">
        <f t="shared" si="4"/>
        <v>0.02511560745</v>
      </c>
      <c r="L7" s="49">
        <f t="shared" si="5"/>
        <v>0.02511560745</v>
      </c>
      <c r="M7" s="80" t="str">
        <f>IFERROR(__xludf.DUMMYFUNCTION("GOOGLEFINANCE(B7,""pe"")"),"#N/A")</f>
        <v>#N/A</v>
      </c>
      <c r="N7" s="48">
        <f t="shared" si="6"/>
        <v>1394940</v>
      </c>
      <c r="O7" s="48">
        <f t="shared" si="7"/>
        <v>575.9454996</v>
      </c>
      <c r="P7" s="81">
        <v>770.0</v>
      </c>
      <c r="Q7" s="4" t="b">
        <f t="shared" si="8"/>
        <v>0</v>
      </c>
      <c r="S7" s="8" t="s">
        <v>252</v>
      </c>
      <c r="T7" s="27">
        <f>K8</f>
        <v>0.04673744248</v>
      </c>
      <c r="V7" s="75" t="s">
        <v>253</v>
      </c>
      <c r="AB7" s="8" t="s">
        <v>254</v>
      </c>
      <c r="AC7" s="8">
        <f t="shared" si="9"/>
        <v>6</v>
      </c>
      <c r="AD7" s="27">
        <f>Z45</f>
        <v>0.1207264012</v>
      </c>
    </row>
    <row r="8" ht="22.5" customHeight="1">
      <c r="A8" s="82" t="s">
        <v>255</v>
      </c>
      <c r="B8" s="3" t="s">
        <v>93</v>
      </c>
      <c r="C8" s="48">
        <f>((vibhanshu!C7*vibhanshu!D7)+(manjari!C6*manjari!D6)+(HUF!B11*HUF!C11))/D8</f>
        <v>198.9230769</v>
      </c>
      <c r="D8" s="48">
        <f>vibhanshu!D7+manjari!D6+HUF!C11</f>
        <v>6500</v>
      </c>
      <c r="E8" s="63">
        <f>IFERROR(__xludf.DUMMYFUNCTION("GOOGLEFINANCE(B8,""PRICE"")"),362.3)</f>
        <v>362.3</v>
      </c>
      <c r="F8" s="47">
        <f>IFERROR(__xludf.DUMMYFUNCTION("GOOGLEFINANCE(B8,""MARKETCAP"")/10000000"),94679.1528265)</f>
        <v>94679.15283</v>
      </c>
      <c r="G8" s="48">
        <f t="shared" si="1"/>
        <v>1293000</v>
      </c>
      <c r="H8" s="48">
        <f t="shared" si="2"/>
        <v>2354950</v>
      </c>
      <c r="I8" s="97">
        <v>45597.0</v>
      </c>
      <c r="J8" s="49">
        <f t="shared" si="3"/>
        <v>0.821307038</v>
      </c>
      <c r="K8" s="49">
        <f t="shared" si="4"/>
        <v>0.04673744248</v>
      </c>
      <c r="L8" s="49">
        <f t="shared" si="5"/>
        <v>0.04673744248</v>
      </c>
      <c r="M8" s="80">
        <f>IFERROR(__xludf.DUMMYFUNCTION("GOOGLEFINANCE(B8,""pe"")"),25.44)</f>
        <v>25.44</v>
      </c>
      <c r="N8" s="48">
        <f t="shared" si="6"/>
        <v>1973675</v>
      </c>
      <c r="O8" s="48">
        <f t="shared" si="7"/>
        <v>303.6423077</v>
      </c>
      <c r="P8" s="69">
        <f>IFERROR(__xludf.DUMMYFUNCTION("index(sortn(GoogleFinance(B8,""high"",DATE(2020,1,1), TODAY(),""DAILY""),2,1,2,0),2,2)"),375.95)</f>
        <v>375.95</v>
      </c>
      <c r="Q8" s="4" t="b">
        <f t="shared" si="8"/>
        <v>1</v>
      </c>
      <c r="S8" s="8" t="s">
        <v>256</v>
      </c>
      <c r="T8" s="27">
        <f>K18</f>
        <v>0.03694420229</v>
      </c>
      <c r="V8" s="8" t="s">
        <v>257</v>
      </c>
      <c r="W8" s="20" t="str">
        <f>#REF!</f>
        <v>#REF!</v>
      </c>
      <c r="Z8" s="27"/>
      <c r="AB8" s="8" t="s">
        <v>201</v>
      </c>
      <c r="AC8" s="8">
        <f t="shared" si="9"/>
        <v>7</v>
      </c>
      <c r="AD8" s="27">
        <f>T6</f>
        <v>0.04379553289</v>
      </c>
    </row>
    <row r="9" ht="22.5" customHeight="1">
      <c r="A9" s="82" t="s">
        <v>258</v>
      </c>
      <c r="B9" s="3" t="s">
        <v>17</v>
      </c>
      <c r="C9" s="48">
        <f>((manjari!C7*manjari!D7)+(vibhanshu!C8*vibhanshu!D8)+(HUF!B7*HUF!C7))/D9</f>
        <v>399.506524</v>
      </c>
      <c r="D9" s="48">
        <f>vibhanshu!D8+manjari!D7+HUF!C7</f>
        <v>4954</v>
      </c>
      <c r="E9" s="63">
        <f>IFERROR(__xludf.DUMMYFUNCTION("GOOGLEFINANCE(B9,""PRICE"")"),1227.9)</f>
        <v>1227.9</v>
      </c>
      <c r="F9" s="47">
        <f>IFERROR(__xludf.DUMMYFUNCTION("GOOGLEFINANCE(B9,""MARKETCAP"")/10000000"),19183.2856174)</f>
        <v>19183.28562</v>
      </c>
      <c r="G9" s="48">
        <f t="shared" si="1"/>
        <v>1979155.32</v>
      </c>
      <c r="H9" s="48">
        <f t="shared" si="2"/>
        <v>6083016.6</v>
      </c>
      <c r="I9" s="97">
        <v>45599.0</v>
      </c>
      <c r="J9" s="49">
        <f t="shared" si="3"/>
        <v>2.073541798</v>
      </c>
      <c r="K9" s="49">
        <f t="shared" si="4"/>
        <v>0.1207264012</v>
      </c>
      <c r="L9" s="49">
        <f t="shared" si="5"/>
        <v>0.1207264012</v>
      </c>
      <c r="M9" s="80">
        <f>IFERROR(__xludf.DUMMYFUNCTION("GOOGLEFINANCE(B9,""pe"")"),87.37)</f>
        <v>87.37</v>
      </c>
      <c r="N9" s="48">
        <f t="shared" si="6"/>
        <v>5916696.8</v>
      </c>
      <c r="O9" s="48">
        <f t="shared" si="7"/>
        <v>1194.32717</v>
      </c>
      <c r="P9" s="69">
        <f>IFERROR(__xludf.DUMMYFUNCTION("index(sortn(GoogleFinance(B9,""high"",DATE(2020,1,1), TODAY(),""DAILY""),2,1,2,0),2,2)"),1289.2)</f>
        <v>1289.2</v>
      </c>
      <c r="Q9" s="4" t="b">
        <f t="shared" si="8"/>
        <v>1</v>
      </c>
      <c r="S9" s="8" t="s">
        <v>259</v>
      </c>
      <c r="T9" s="27">
        <f>K14</f>
        <v>0.04458310826</v>
      </c>
      <c r="Z9" s="93">
        <f>SUM(Z7:Z8)</f>
        <v>0</v>
      </c>
      <c r="AB9" s="8" t="s">
        <v>260</v>
      </c>
      <c r="AC9" s="8">
        <f t="shared" si="9"/>
        <v>8</v>
      </c>
      <c r="AD9" s="27">
        <f>W24</f>
        <v>0.02776625226</v>
      </c>
    </row>
    <row r="10" ht="22.5" customHeight="1">
      <c r="A10" s="98" t="s">
        <v>261</v>
      </c>
      <c r="B10" s="3" t="s">
        <v>95</v>
      </c>
      <c r="C10" s="48">
        <f>((vibhanshu!C9*vibhanshu!D9)+(manjari!C9*manjari!D9)+(HUF!B8*HUF!C8))/D10</f>
        <v>571.0271341</v>
      </c>
      <c r="D10" s="48">
        <f>vibhanshu!D9+HUF!C8+manjari!D9</f>
        <v>3280</v>
      </c>
      <c r="E10" s="63">
        <f>IFERROR(__xludf.DUMMYFUNCTION("GOOGLEFINANCE(B10,""PRICE"")"),1225.2)</f>
        <v>1225.2</v>
      </c>
      <c r="F10" s="47">
        <f>IFERROR(__xludf.DUMMYFUNCTION("GOOGLEFINANCE(B10,""MARKETCAP"")/10000000"),66276.9420777)</f>
        <v>66276.94208</v>
      </c>
      <c r="G10" s="48">
        <f t="shared" si="1"/>
        <v>1872969</v>
      </c>
      <c r="H10" s="48">
        <f t="shared" si="2"/>
        <v>4018656</v>
      </c>
      <c r="I10" s="97">
        <v>45658.0</v>
      </c>
      <c r="J10" s="49">
        <f t="shared" si="3"/>
        <v>1.145607322</v>
      </c>
      <c r="K10" s="49">
        <f t="shared" si="4"/>
        <v>0.07975613226</v>
      </c>
      <c r="L10" s="49">
        <f t="shared" si="5"/>
        <v>0.07975613226</v>
      </c>
      <c r="M10" s="80">
        <f>IFERROR(__xludf.DUMMYFUNCTION("GOOGLEFINANCE(B10,""pe"")"),74.57)</f>
        <v>74.57</v>
      </c>
      <c r="N10" s="48">
        <f t="shared" si="6"/>
        <v>3590312</v>
      </c>
      <c r="O10" s="48">
        <f t="shared" si="7"/>
        <v>1094.607317</v>
      </c>
      <c r="P10" s="69">
        <f>IFERROR(__xludf.DUMMYFUNCTION("index(sortn(GoogleFinance(B10,""high"",DATE(2020,1,1), TODAY(),""DAILY""),2,1,2,0),2,2)"),1237.9)</f>
        <v>1237.9</v>
      </c>
      <c r="Q10" s="4" t="b">
        <f t="shared" si="8"/>
        <v>1</v>
      </c>
      <c r="T10" s="93">
        <f>SUM(T5:T9)</f>
        <v>0.1720602859</v>
      </c>
      <c r="Y10" s="75" t="s">
        <v>262</v>
      </c>
      <c r="AB10" s="8" t="s">
        <v>252</v>
      </c>
      <c r="AC10" s="8">
        <f t="shared" si="9"/>
        <v>9</v>
      </c>
      <c r="AD10" s="27">
        <f>T4</f>
        <v>0.08368164477</v>
      </c>
    </row>
    <row r="11" ht="22.5" customHeight="1">
      <c r="A11" s="96" t="s">
        <v>263</v>
      </c>
      <c r="B11" s="3" t="s">
        <v>97</v>
      </c>
      <c r="C11" s="48">
        <f>((manjari!C10*manjari!D10)+(HUF!B10*HUF!C10)+(vibhanshu!C10*vibhanshu!D10))/D11</f>
        <v>1195.117774</v>
      </c>
      <c r="D11" s="48">
        <f>manjari!D10+HUF!C10+vibhanshu!D10</f>
        <v>1520</v>
      </c>
      <c r="E11" s="63">
        <f>IFERROR(__xludf.DUMMYFUNCTION("GOOGLEFINANCE(B11,""PRICE"")"),1221.0)</f>
        <v>1221</v>
      </c>
      <c r="F11" s="47">
        <f>IFERROR(__xludf.DUMMYFUNCTION("GOOGLEFINANCE(B11,""MARKETCAP"")/10000000"),5312.684553)</f>
        <v>5312.684553</v>
      </c>
      <c r="G11" s="99">
        <f t="shared" si="1"/>
        <v>1816579.016</v>
      </c>
      <c r="H11" s="48">
        <f t="shared" si="2"/>
        <v>1855920</v>
      </c>
      <c r="I11" s="97">
        <v>45689.0</v>
      </c>
      <c r="J11" s="49">
        <f t="shared" si="3"/>
        <v>0.02165663241</v>
      </c>
      <c r="K11" s="49">
        <f t="shared" si="4"/>
        <v>0.03683345899</v>
      </c>
      <c r="L11" s="49">
        <f t="shared" si="5"/>
        <v>0.03683345899</v>
      </c>
      <c r="M11" s="80">
        <f>IFERROR(__xludf.DUMMYFUNCTION("GOOGLEFINANCE(B11,""pe"")"),47.22)</f>
        <v>47.22</v>
      </c>
      <c r="N11" s="48">
        <f t="shared" si="6"/>
        <v>1938060</v>
      </c>
      <c r="O11" s="48">
        <f t="shared" si="7"/>
        <v>1275.039474</v>
      </c>
      <c r="P11" s="69">
        <f>IFERROR(__xludf.DUMMYFUNCTION("index(sortn(GoogleFinance(B11,""high"",DATE(2020,1,1), TODAY(),""DAILY""),2,1,2,0),2,2)"),1584.25)</f>
        <v>1584.25</v>
      </c>
      <c r="Q11" s="4" t="b">
        <f t="shared" si="8"/>
        <v>0</v>
      </c>
      <c r="S11" s="75" t="s">
        <v>264</v>
      </c>
      <c r="W11" s="93" t="str">
        <f>SUM(W8:W10)</f>
        <v>#REF!</v>
      </c>
      <c r="Y11" s="8" t="s">
        <v>67</v>
      </c>
      <c r="Z11" s="27">
        <f>K3</f>
        <v>0.06667857927</v>
      </c>
      <c r="AA11" s="8" t="s">
        <v>265</v>
      </c>
      <c r="AB11" s="8" t="s">
        <v>62</v>
      </c>
      <c r="AC11" s="8">
        <f t="shared" si="9"/>
        <v>10</v>
      </c>
      <c r="AD11" s="27">
        <f>K15</f>
        <v>0.02792249358</v>
      </c>
    </row>
    <row r="12" ht="22.5" customHeight="1">
      <c r="A12" s="96" t="s">
        <v>266</v>
      </c>
      <c r="B12" s="54" t="s">
        <v>98</v>
      </c>
      <c r="C12" s="48">
        <f>((manjari!C11*manjari!D11)+(HUF!B12*HUF!C12)+(vibhanshu!C11*vibhanshu!D11))/D12</f>
        <v>1860.242986</v>
      </c>
      <c r="D12" s="100">
        <f>manjari!D11+vibhanshu!D11+HUF!C12</f>
        <v>653</v>
      </c>
      <c r="E12" s="63">
        <f>IFERROR(__xludf.DUMMYFUNCTION("GOOGLEFINANCE(B12,""PRICE"")"),2142.5)</f>
        <v>2142.5</v>
      </c>
      <c r="F12" s="47">
        <f>IFERROR(__xludf.DUMMYFUNCTION("GOOGLEFINANCE(B12,""MARKETCAP"")/10000000"),3593.3688625)</f>
        <v>3593.368863</v>
      </c>
      <c r="G12" s="99">
        <f t="shared" si="1"/>
        <v>1214738.67</v>
      </c>
      <c r="H12" s="48">
        <f t="shared" si="2"/>
        <v>1399052.5</v>
      </c>
      <c r="I12" s="97">
        <v>45694.0</v>
      </c>
      <c r="J12" s="49">
        <f t="shared" si="3"/>
        <v>0.1517312608</v>
      </c>
      <c r="K12" s="49">
        <f t="shared" si="4"/>
        <v>0.02776625226</v>
      </c>
      <c r="L12" s="49">
        <f t="shared" si="5"/>
        <v>0.02776625226</v>
      </c>
      <c r="M12" s="80">
        <f>IFERROR(__xludf.DUMMYFUNCTION("GOOGLEFINANCE(B12,""pe"")"),26.57)</f>
        <v>26.57</v>
      </c>
      <c r="N12" s="48">
        <f t="shared" si="6"/>
        <v>1333977.8</v>
      </c>
      <c r="O12" s="48">
        <f t="shared" si="7"/>
        <v>2042.845023</v>
      </c>
      <c r="P12" s="69">
        <f>IFERROR(__xludf.DUMMYFUNCTION("index(sortn(GoogleFinance(B12,""high"",DATE(2020,1,1), TODAY(),""DAILY""),2,1,2,0),2,2)"),2762.6)</f>
        <v>2762.6</v>
      </c>
      <c r="Q12" s="4" t="b">
        <f t="shared" si="8"/>
        <v>1</v>
      </c>
      <c r="V12" s="75" t="s">
        <v>267</v>
      </c>
      <c r="Y12" s="8" t="s">
        <v>268</v>
      </c>
      <c r="Z12" s="20" t="str">
        <f>#REF!</f>
        <v>#REF!</v>
      </c>
      <c r="AB12" s="8" t="s">
        <v>61</v>
      </c>
      <c r="AC12" s="8">
        <f t="shared" si="9"/>
        <v>11</v>
      </c>
      <c r="AD12" s="27">
        <f>K7</f>
        <v>0.02511560745</v>
      </c>
    </row>
    <row r="13" ht="22.5" customHeight="1">
      <c r="A13" s="96" t="s">
        <v>269</v>
      </c>
      <c r="B13" s="54" t="s">
        <v>100</v>
      </c>
      <c r="C13" s="48">
        <f>((manjari!C12*manjari!D12)+(HUF!B14*HUF!C14)+(vibhanshu!C12*vibhanshu!D12))/D13</f>
        <v>970.3882408</v>
      </c>
      <c r="D13" s="100">
        <f>manjari!D12+vibhanshu!D12+HUF!C14</f>
        <v>900</v>
      </c>
      <c r="E13" s="63">
        <f>IFERROR(__xludf.DUMMYFUNCTION("GOOGLEFINANCE(B13,""PRICE"")"),1188.0)</f>
        <v>1188</v>
      </c>
      <c r="F13" s="47">
        <f>IFERROR(__xludf.DUMMYFUNCTION("GOOGLEFINANCE(B13,""MARKETCAP"")/10000000"),75733.7049491)</f>
        <v>75733.70495</v>
      </c>
      <c r="G13" s="99">
        <f t="shared" si="1"/>
        <v>873349.4167</v>
      </c>
      <c r="H13" s="48">
        <f t="shared" si="2"/>
        <v>1069200</v>
      </c>
      <c r="I13" s="97">
        <v>45695.0</v>
      </c>
      <c r="J13" s="49">
        <f t="shared" si="3"/>
        <v>0.2242522633</v>
      </c>
      <c r="K13" s="49">
        <f t="shared" si="4"/>
        <v>0.0212198448</v>
      </c>
      <c r="L13" s="49">
        <f t="shared" si="5"/>
        <v>0.0212198448</v>
      </c>
      <c r="M13" s="80" t="str">
        <f>IFERROR(__xludf.DUMMYFUNCTION("GOOGLEFINANCE(B13,""pe"")"),"#N/A")</f>
        <v>#N/A</v>
      </c>
      <c r="N13" s="48">
        <f t="shared" si="6"/>
        <v>1289500</v>
      </c>
      <c r="O13" s="48">
        <f t="shared" si="7"/>
        <v>1432.777778</v>
      </c>
      <c r="P13" s="69">
        <f>IFERROR(__xludf.DUMMYFUNCTION("index(sortn(GoogleFinance(B13,""high"",DATE(2020,1,1), TODAY(),""DAILY""),2,1,2,0),2,2)"),1955.0)</f>
        <v>1955</v>
      </c>
      <c r="Q13" s="4" t="b">
        <f t="shared" si="8"/>
        <v>0</v>
      </c>
      <c r="S13" s="8" t="s">
        <v>99</v>
      </c>
      <c r="T13" s="27">
        <f>K13</f>
        <v>0.0212198448</v>
      </c>
      <c r="V13" s="8" t="s">
        <v>60</v>
      </c>
      <c r="W13" s="27">
        <f>K22</f>
        <v>0.02092040921</v>
      </c>
      <c r="AC13" s="8">
        <f t="shared" si="9"/>
        <v>12</v>
      </c>
    </row>
    <row r="14" ht="22.5" customHeight="1">
      <c r="A14" s="96" t="s">
        <v>270</v>
      </c>
      <c r="B14" s="54" t="s">
        <v>102</v>
      </c>
      <c r="C14" s="48">
        <f>((manjari!C13*manjari!D13)+(HUF!B13*HUF!C13)+(vibhanshu!C13*vibhanshu!D13))/D14</f>
        <v>43.75222222</v>
      </c>
      <c r="D14" s="100">
        <f>manjari!D13+vibhanshu!D13+HUF!C13</f>
        <v>36000</v>
      </c>
      <c r="E14" s="63">
        <f>IFERROR(__xludf.DUMMYFUNCTION("GOOGLEFINANCE(B14,""PRICE"")"),62.4)</f>
        <v>62.4</v>
      </c>
      <c r="F14" s="47">
        <f>IFERROR(__xludf.DUMMYFUNCTION("GOOGLEFINANCE(B14,""MARKETCAP"")/10000000"),12125.5587713)</f>
        <v>12125.55877</v>
      </c>
      <c r="G14" s="99">
        <f t="shared" si="1"/>
        <v>1575080</v>
      </c>
      <c r="H14" s="48">
        <f t="shared" si="2"/>
        <v>2246400</v>
      </c>
      <c r="I14" s="97">
        <v>45696.0</v>
      </c>
      <c r="J14" s="49">
        <f t="shared" si="3"/>
        <v>0.4262132717</v>
      </c>
      <c r="K14" s="49">
        <f t="shared" si="4"/>
        <v>0.04458310826</v>
      </c>
      <c r="L14" s="49">
        <f t="shared" si="5"/>
        <v>0.04458310826</v>
      </c>
      <c r="M14" s="80">
        <f>IFERROR(__xludf.DUMMYFUNCTION("GOOGLEFINANCE(B14,""pe"")"),24.78)</f>
        <v>24.78</v>
      </c>
      <c r="N14" s="48">
        <f t="shared" si="6"/>
        <v>1978000</v>
      </c>
      <c r="O14" s="48">
        <f t="shared" si="7"/>
        <v>54.94444444</v>
      </c>
      <c r="P14" s="69">
        <f>IFERROR(__xludf.DUMMYFUNCTION("index(sortn(GoogleFinance(B14,""high"",DATE(2020,1,1), TODAY(),""DAILY""),2,1,2,0),2,2)"),68.0)</f>
        <v>68</v>
      </c>
      <c r="Q14" s="4" t="b">
        <f t="shared" si="8"/>
        <v>1</v>
      </c>
      <c r="V14" s="8" t="s">
        <v>271</v>
      </c>
      <c r="W14" s="20" t="str">
        <f>#REF!</f>
        <v>#REF!</v>
      </c>
      <c r="AB14" s="8" t="s">
        <v>65</v>
      </c>
      <c r="AC14" s="8">
        <v>13.0</v>
      </c>
      <c r="AD14" s="27">
        <f>K6</f>
        <v>0.02590122994</v>
      </c>
    </row>
    <row r="15" ht="22.5" customHeight="1">
      <c r="A15" s="98" t="s">
        <v>272</v>
      </c>
      <c r="B15" s="54" t="s">
        <v>159</v>
      </c>
      <c r="C15" s="48">
        <f>((manjari!C14*manjari!D14)+(HUF!B15*HUF!C15))/D15</f>
        <v>480.9283784</v>
      </c>
      <c r="D15" s="100">
        <f>manjari!D14+HUF!C15</f>
        <v>3700</v>
      </c>
      <c r="E15" s="63">
        <f>IFERROR(__xludf.DUMMYFUNCTION("GOOGLEFINANCE(B15,""PRICE"")"),380.25)</f>
        <v>380.25</v>
      </c>
      <c r="F15" s="47">
        <f>IFERROR(__xludf.DUMMYFUNCTION("GOOGLEFINANCE(B15,""MARKETCAP"")/10000000"),6190.85025)</f>
        <v>6190.85025</v>
      </c>
      <c r="G15" s="99">
        <f t="shared" si="1"/>
        <v>1779435</v>
      </c>
      <c r="H15" s="48">
        <f t="shared" si="2"/>
        <v>1406925</v>
      </c>
      <c r="I15" s="97"/>
      <c r="J15" s="49">
        <f t="shared" si="3"/>
        <v>-0.2093417293</v>
      </c>
      <c r="K15" s="49">
        <f t="shared" si="4"/>
        <v>0.02792249358</v>
      </c>
      <c r="L15" s="49">
        <f t="shared" si="5"/>
        <v>0.02792249358</v>
      </c>
      <c r="M15" s="80">
        <f>IFERROR(__xludf.DUMMYFUNCTION("GOOGLEFINANCE(B15,""pe"")"),28.57)</f>
        <v>28.57</v>
      </c>
      <c r="N15" s="48">
        <f t="shared" si="6"/>
        <v>1967745</v>
      </c>
      <c r="O15" s="48">
        <f t="shared" si="7"/>
        <v>531.822973</v>
      </c>
      <c r="P15" s="69">
        <f>IFERROR(__xludf.DUMMYFUNCTION("index(sortn(GoogleFinance(B15,""high"",DATE(2020,1,1), TODAY(),""DAILY""),2,1,2,0),2,2)"),658.85)</f>
        <v>658.85</v>
      </c>
      <c r="Q15" s="4" t="b">
        <f t="shared" si="8"/>
        <v>0</v>
      </c>
      <c r="T15" s="93">
        <f>SUM(T12:T13)</f>
        <v>0.0212198448</v>
      </c>
      <c r="Z15" s="93" t="str">
        <f>SUM(Z11:Z12)</f>
        <v>#REF!</v>
      </c>
      <c r="AB15" s="8" t="s">
        <v>96</v>
      </c>
      <c r="AC15" s="8">
        <v>14.0</v>
      </c>
      <c r="AD15" s="27">
        <f>K11</f>
        <v>0.03683345899</v>
      </c>
    </row>
    <row r="16" ht="22.5" customHeight="1">
      <c r="A16" s="101" t="s">
        <v>147</v>
      </c>
      <c r="B16" s="101" t="s">
        <v>104</v>
      </c>
      <c r="C16" s="48">
        <f>((HUF!B16*HUF!C16)+(manjari!D15*manjari!C15)+(vibhanshu!C14*vibhanshu!D14))/D16</f>
        <v>124</v>
      </c>
      <c r="D16" s="100">
        <f>manjari!D15+HUF!C16+vibhanshu!D14</f>
        <v>2400</v>
      </c>
      <c r="E16" s="63">
        <f>IFERROR(__xludf.DUMMYFUNCTION("GOOGLEFINANCE(B16,""PRICE"")"),240.0)</f>
        <v>240</v>
      </c>
      <c r="F16" s="47" t="str">
        <f>IFERROR(__xludf.DUMMYFUNCTION("GOOGLEFINANCE(B16,""MARKETCAP"")/10000000"),"#N/A")</f>
        <v>#N/A</v>
      </c>
      <c r="G16" s="99">
        <f t="shared" si="1"/>
        <v>297600</v>
      </c>
      <c r="H16" s="48">
        <f t="shared" si="2"/>
        <v>576000</v>
      </c>
      <c r="I16" s="102">
        <v>45901.0</v>
      </c>
      <c r="J16" s="49">
        <f t="shared" si="3"/>
        <v>0.935483871</v>
      </c>
      <c r="K16" s="49">
        <f t="shared" si="4"/>
        <v>0.01143156622</v>
      </c>
      <c r="L16" s="49">
        <f t="shared" si="5"/>
        <v>0.01143156622</v>
      </c>
      <c r="M16" s="80" t="str">
        <f>IFERROR(__xludf.DUMMYFUNCTION("GOOGLEFINANCE(B16,""pe"")"),"#N/A")</f>
        <v>#N/A</v>
      </c>
      <c r="N16" s="48">
        <f t="shared" si="6"/>
        <v>394000</v>
      </c>
      <c r="O16" s="48">
        <f t="shared" si="7"/>
        <v>164.1666667</v>
      </c>
      <c r="P16" s="69">
        <f>IFERROR(__xludf.DUMMYFUNCTION("index(sortn(GoogleFinance(B16,""high"",DATE(2020,1,1), TODAY(),""DAILY""),2,1,2,0),2,2)"),360.0)</f>
        <v>360</v>
      </c>
      <c r="Q16" s="4" t="b">
        <f t="shared" si="8"/>
        <v>1</v>
      </c>
      <c r="Y16" s="75" t="s">
        <v>273</v>
      </c>
      <c r="AC16" s="8">
        <v>15.0</v>
      </c>
    </row>
    <row r="17" ht="22.5" customHeight="1">
      <c r="A17" s="101" t="s">
        <v>105</v>
      </c>
      <c r="B17" s="101" t="s">
        <v>106</v>
      </c>
      <c r="C17" s="48">
        <f>((HUF!B17*HUF!C17)+(manjari!D16*manjari!C16)+(vibhanshu!C15*vibhanshu!D15))/D17</f>
        <v>95.12</v>
      </c>
      <c r="D17" s="100">
        <f>HUF!C17+vibhanshu!D15+manjari!D16</f>
        <v>4000</v>
      </c>
      <c r="E17" s="63">
        <f>IFERROR(__xludf.DUMMYFUNCTION("GOOGLEFINANCE(B17,""PRICE"")"),128.73)</f>
        <v>128.73</v>
      </c>
      <c r="F17" s="47" t="str">
        <f>IFERROR(__xludf.DUMMYFUNCTION("GOOGLEFINANCE(B17,""MARKETCAP"")/10000000"),"#N/A")</f>
        <v>#N/A</v>
      </c>
      <c r="G17" s="99">
        <f t="shared" si="1"/>
        <v>380480</v>
      </c>
      <c r="H17" s="48">
        <f t="shared" si="2"/>
        <v>514920</v>
      </c>
      <c r="I17" s="102">
        <v>45902.0</v>
      </c>
      <c r="J17" s="49">
        <f t="shared" si="3"/>
        <v>0.3533431455</v>
      </c>
      <c r="K17" s="49">
        <f t="shared" si="4"/>
        <v>0.01021934389</v>
      </c>
      <c r="L17" s="49">
        <f t="shared" si="5"/>
        <v>0.01021934389</v>
      </c>
      <c r="M17" s="80" t="str">
        <f>IFERROR(__xludf.DUMMYFUNCTION("GOOGLEFINANCE(B17,""pe"")"),"#N/A")</f>
        <v>#N/A</v>
      </c>
      <c r="N17" s="48">
        <f t="shared" si="6"/>
        <v>162000</v>
      </c>
      <c r="O17" s="48">
        <f t="shared" si="7"/>
        <v>40.5</v>
      </c>
      <c r="P17" s="69">
        <f>IFERROR(__xludf.DUMMYFUNCTION("index(sortn(GoogleFinance(B17,""high"",DATE(2020,1,1), TODAY(),""DAILY""),2,1,2,0),2,2)"),158.0)</f>
        <v>158</v>
      </c>
      <c r="Q17" s="4" t="b">
        <f t="shared" si="8"/>
        <v>1</v>
      </c>
      <c r="S17" s="75" t="s">
        <v>274</v>
      </c>
      <c r="T17" s="8" t="s">
        <v>275</v>
      </c>
      <c r="W17" s="93" t="str">
        <f>SUM(W12:W14)</f>
        <v>#REF!</v>
      </c>
    </row>
    <row r="18" ht="22.5" customHeight="1">
      <c r="A18" s="101" t="s">
        <v>276</v>
      </c>
      <c r="B18" s="101" t="s">
        <v>108</v>
      </c>
      <c r="C18" s="48">
        <f>((HUF!B18*HUF!C18)+(manjari!D17*manjari!C17)+(vibhanshu!C16*vibhanshu!D16))/D18</f>
        <v>378.6905216</v>
      </c>
      <c r="D18" s="100">
        <f>HUF!C18+vibhanshu!D16+manjari!D17</f>
        <v>5100</v>
      </c>
      <c r="E18" s="63">
        <f>IFERROR(__xludf.DUMMYFUNCTION("GOOGLEFINANCE(B18,""PRICE"")"),365.0)</f>
        <v>365</v>
      </c>
      <c r="F18" s="47">
        <f>IFERROR(__xludf.DUMMYFUNCTION("GOOGLEFINANCE(B18,""MARKETCAP"")/10000000"),6185.92875)</f>
        <v>6185.92875</v>
      </c>
      <c r="G18" s="99">
        <f t="shared" si="1"/>
        <v>1931321.66</v>
      </c>
      <c r="H18" s="48">
        <f t="shared" si="2"/>
        <v>1861500</v>
      </c>
      <c r="I18" s="102">
        <v>45952.0</v>
      </c>
      <c r="J18" s="49">
        <f t="shared" si="3"/>
        <v>-0.03615226895</v>
      </c>
      <c r="K18" s="49">
        <f t="shared" si="4"/>
        <v>0.03694420229</v>
      </c>
      <c r="L18" s="49">
        <f t="shared" si="5"/>
        <v>0.03694420229</v>
      </c>
      <c r="M18" s="80">
        <f>IFERROR(__xludf.DUMMYFUNCTION("GOOGLEFINANCE(B18,""pe"")"),10.0)</f>
        <v>10</v>
      </c>
      <c r="N18" s="48">
        <f t="shared" si="6"/>
        <v>2459440</v>
      </c>
      <c r="O18" s="48">
        <f t="shared" si="7"/>
        <v>482.2431373</v>
      </c>
      <c r="P18" s="69">
        <f>IFERROR(__xludf.DUMMYFUNCTION("index(sortn(GoogleFinance(B18,""high"",DATE(2020,1,1), TODAY(),""DAILY""),2,1,2,0),2,2)"),574.4)</f>
        <v>574.4</v>
      </c>
      <c r="Q18" s="4" t="b">
        <f t="shared" si="8"/>
        <v>0</v>
      </c>
      <c r="V18" s="75" t="s">
        <v>277</v>
      </c>
      <c r="Y18" s="75" t="s">
        <v>278</v>
      </c>
      <c r="AB18" s="75" t="s">
        <v>279</v>
      </c>
      <c r="AE18" s="8" t="s">
        <v>280</v>
      </c>
    </row>
    <row r="19" ht="22.5" customHeight="1">
      <c r="A19" s="96" t="s">
        <v>281</v>
      </c>
      <c r="B19" s="54" t="s">
        <v>110</v>
      </c>
      <c r="C19" s="100">
        <f>((HUF!B19*HUF!C19)+(vibhanshu!C17*vibhanshu!D17)+(manjari!C18*manjari!D18))/D19</f>
        <v>1341.36212</v>
      </c>
      <c r="D19" s="100">
        <f>HUF!C19+vibhanshu!D17+manjari!D18</f>
        <v>920</v>
      </c>
      <c r="E19" s="63">
        <f>IFERROR(__xludf.DUMMYFUNCTION("GOOGLEFINANCE(B19,""PRICE"")"),1430.5)</f>
        <v>1430.5</v>
      </c>
      <c r="F19" s="103">
        <f>IFERROR(__xludf.DUMMYFUNCTION("GOOGLEFINANCE(B19,""MARKETCAP"")/10000000"),4376.539055)</f>
        <v>4376.539055</v>
      </c>
      <c r="G19" s="104">
        <f t="shared" si="1"/>
        <v>1234053.15</v>
      </c>
      <c r="H19" s="100">
        <f t="shared" si="2"/>
        <v>1316060</v>
      </c>
      <c r="I19" s="102">
        <v>45964.0</v>
      </c>
      <c r="J19" s="105">
        <f t="shared" si="3"/>
        <v>0.06645325609</v>
      </c>
      <c r="K19" s="105">
        <f t="shared" si="4"/>
        <v>0.02611914417</v>
      </c>
      <c r="L19" s="105">
        <f t="shared" si="5"/>
        <v>0.02611914417</v>
      </c>
      <c r="M19" s="106">
        <f>IFERROR(__xludf.DUMMYFUNCTION("GOOGLEFINANCE(B19,""pe"")"),38.16)</f>
        <v>38.16</v>
      </c>
      <c r="N19" s="100">
        <f t="shared" si="6"/>
        <v>981760</v>
      </c>
      <c r="O19" s="100">
        <f t="shared" si="7"/>
        <v>1067.130435</v>
      </c>
      <c r="P19" s="107">
        <f>IFERROR(__xludf.DUMMYFUNCTION("index(sortn(GoogleFinance(B19,""high"",DATE(2020,1,1), TODAY(),""DAILY""),2,1,2,0),2,2)"),1578.0)</f>
        <v>1578</v>
      </c>
      <c r="Q19" s="64" t="b">
        <f t="shared" si="8"/>
        <v>1</v>
      </c>
      <c r="S19" s="8" t="s">
        <v>59</v>
      </c>
      <c r="T19" s="27">
        <f>K10</f>
        <v>0.07975613226</v>
      </c>
      <c r="Y19" s="8" t="s">
        <v>282</v>
      </c>
      <c r="Z19" s="27">
        <f>SUM(AD2:AD7)</f>
        <v>0.4095769099</v>
      </c>
      <c r="AA19" s="27">
        <f>Z19</f>
        <v>0.4095769099</v>
      </c>
      <c r="AE19" s="8" t="s">
        <v>283</v>
      </c>
    </row>
    <row r="20" ht="22.5" customHeight="1">
      <c r="A20" s="96" t="s">
        <v>284</v>
      </c>
      <c r="B20" s="54" t="s">
        <v>112</v>
      </c>
      <c r="C20" s="100">
        <f>((vibhanshu!C18*vibhanshu!D18)+(manjari!C19*manjari!D19)+(HUF!B20*HUF!C20))/D20</f>
        <v>1893.590579</v>
      </c>
      <c r="D20" s="100">
        <f>vibhanshu!D18+manjari!D19+HUF!C20</f>
        <v>1295</v>
      </c>
      <c r="E20" s="63">
        <f>IFERROR(__xludf.DUMMYFUNCTION("GOOGLEFINANCE(B20,""PRICE"")"),3098.0)</f>
        <v>3098</v>
      </c>
      <c r="F20" s="103">
        <f>IFERROR(__xludf.DUMMYFUNCTION("GOOGLEFINANCE(B20,""MARKETCAP"")/10000000"),78786.6929332)</f>
        <v>78786.69293</v>
      </c>
      <c r="G20" s="104">
        <f t="shared" si="1"/>
        <v>2452199.8</v>
      </c>
      <c r="H20" s="100">
        <f t="shared" si="2"/>
        <v>4011910</v>
      </c>
      <c r="I20" s="102">
        <v>45972.0</v>
      </c>
      <c r="J20" s="105">
        <f t="shared" si="3"/>
        <v>0.6360453174</v>
      </c>
      <c r="K20" s="105">
        <f t="shared" si="4"/>
        <v>0.07962224798</v>
      </c>
      <c r="L20" s="105">
        <f t="shared" si="5"/>
        <v>0.07962224798</v>
      </c>
      <c r="M20" s="106">
        <f>IFERROR(__xludf.DUMMYFUNCTION("GOOGLEFINANCE(B20,""pe"")"),155.56)</f>
        <v>155.56</v>
      </c>
      <c r="N20" s="100">
        <f t="shared" si="6"/>
        <v>3591120</v>
      </c>
      <c r="O20" s="100">
        <f t="shared" si="7"/>
        <v>2773.065637</v>
      </c>
      <c r="P20" s="107">
        <f>IFERROR(__xludf.DUMMYFUNCTION("index(sortn(GoogleFinance(B20,""high"",DATE(2020,1,1), TODAY(),""DAILY""),2,1,2,0),2,2)"),3136.0)</f>
        <v>3136</v>
      </c>
      <c r="Q20" s="64" t="b">
        <f t="shared" si="8"/>
        <v>1</v>
      </c>
      <c r="S20" s="8" t="s">
        <v>40</v>
      </c>
      <c r="T20" s="27">
        <f>K2</f>
        <v>0.08102321023</v>
      </c>
      <c r="V20" s="8" t="s">
        <v>285</v>
      </c>
      <c r="W20" s="27">
        <f>K12</f>
        <v>0.02776625226</v>
      </c>
      <c r="Y20" s="8" t="s">
        <v>286</v>
      </c>
      <c r="Z20" s="27">
        <f>SUM(AD5:AD8)</f>
        <v>0.2888611746</v>
      </c>
      <c r="AA20" s="27">
        <f>Z19+Z20</f>
        <v>0.6984380845</v>
      </c>
      <c r="AD20" s="108"/>
      <c r="AE20" s="8" t="s">
        <v>287</v>
      </c>
      <c r="AF20" s="108"/>
      <c r="AG20" s="108"/>
      <c r="AH20" s="108"/>
      <c r="AI20" s="108"/>
      <c r="AJ20" s="108"/>
    </row>
    <row r="21" ht="22.5" customHeight="1">
      <c r="A21" s="96" t="s">
        <v>288</v>
      </c>
      <c r="B21" s="54" t="s">
        <v>114</v>
      </c>
      <c r="C21" s="100">
        <f>((vibhanshu!C19*vibhanshu!D19)+(manjari!C20*manjari!D20)+(HUF!B21*HUF!C21))/D21</f>
        <v>1727</v>
      </c>
      <c r="D21" s="100">
        <f>vibhanshu!D19+manjari!D20+HUF!C21</f>
        <v>500</v>
      </c>
      <c r="E21" s="63">
        <f>IFERROR(__xludf.DUMMYFUNCTION("GOOGLEFINANCE(B21,""PRICE"")"),2745.1)</f>
        <v>2745.1</v>
      </c>
      <c r="F21" s="103">
        <f>IFERROR(__xludf.DUMMYFUNCTION("GOOGLEFINANCE(B21,""MARKETCAP"")/10000000"),22474.4392056)</f>
        <v>22474.43921</v>
      </c>
      <c r="G21" s="104">
        <f t="shared" si="1"/>
        <v>863500</v>
      </c>
      <c r="H21" s="100">
        <f t="shared" si="2"/>
        <v>1372550</v>
      </c>
      <c r="I21" s="102">
        <v>45990.0</v>
      </c>
      <c r="J21" s="105">
        <f t="shared" si="3"/>
        <v>0.5895193978</v>
      </c>
      <c r="K21" s="105">
        <f t="shared" si="4"/>
        <v>0.02724027121</v>
      </c>
      <c r="L21" s="105">
        <f t="shared" si="5"/>
        <v>0.02724027121</v>
      </c>
      <c r="M21" s="106">
        <f>IFERROR(__xludf.DUMMYFUNCTION("GOOGLEFINANCE(B21,""pe"")"),63.29)</f>
        <v>63.29</v>
      </c>
      <c r="N21" s="100">
        <f t="shared" si="6"/>
        <v>909500</v>
      </c>
      <c r="O21" s="100">
        <f t="shared" si="7"/>
        <v>1819</v>
      </c>
      <c r="P21" s="107">
        <f>IFERROR(__xludf.DUMMYFUNCTION("index(sortn(GoogleFinance(B21,""high"",DATE(2020,1,1), TODAY(),""DAILY""),2,1,2,0),2,2)"),2759.0)</f>
        <v>2759</v>
      </c>
      <c r="Q21" s="64" t="b">
        <f t="shared" si="8"/>
        <v>1</v>
      </c>
      <c r="S21" s="8" t="s">
        <v>65</v>
      </c>
      <c r="T21" s="27">
        <f t="shared" ref="T21:T22" si="10">K6</f>
        <v>0.02590122994</v>
      </c>
      <c r="Y21" s="8" t="s">
        <v>289</v>
      </c>
      <c r="Z21" s="27">
        <f>SUM(AD8:AD16)</f>
        <v>0.2710162199</v>
      </c>
      <c r="AA21" s="27">
        <f>Z19+Z20+Z21</f>
        <v>0.9694543044</v>
      </c>
      <c r="AD21" s="108"/>
      <c r="AE21" s="108"/>
      <c r="AF21" s="108"/>
      <c r="AG21" s="108"/>
      <c r="AH21" s="108"/>
      <c r="AI21" s="108"/>
      <c r="AJ21" s="108"/>
    </row>
    <row r="22" ht="22.5" customHeight="1">
      <c r="A22" s="96" t="s">
        <v>290</v>
      </c>
      <c r="B22" s="54" t="s">
        <v>117</v>
      </c>
      <c r="C22" s="100">
        <f>((manjari!C21*manjari!D21)+(HUF!B22*HUF!C22)+(vibhanshu!C21*vibhanshu!D21))/D22</f>
        <v>1713.91311</v>
      </c>
      <c r="D22" s="100">
        <f>manjari!D21+HUF!C22+vibhanshu!D21</f>
        <v>418</v>
      </c>
      <c r="E22" s="63">
        <f>IFERROR(__xludf.DUMMYFUNCTION("GOOGLEFINANCE(B22,""PRICE"")"),2521.8)</f>
        <v>2521.8</v>
      </c>
      <c r="F22" s="103">
        <f>IFERROR(__xludf.DUMMYFUNCTION("GOOGLEFINANCE(B22,""MARKETCAP"")/10000000"),15718.8966733)</f>
        <v>15718.89667</v>
      </c>
      <c r="G22" s="104">
        <f t="shared" si="1"/>
        <v>716415.68</v>
      </c>
      <c r="H22" s="100">
        <f t="shared" si="2"/>
        <v>1054112.4</v>
      </c>
      <c r="I22" s="102">
        <v>46011.0</v>
      </c>
      <c r="J22" s="105">
        <f t="shared" si="3"/>
        <v>0.4713698059</v>
      </c>
      <c r="K22" s="105">
        <f t="shared" si="4"/>
        <v>0.02092040921</v>
      </c>
      <c r="L22" s="105">
        <f t="shared" si="5"/>
        <v>0.02092040921</v>
      </c>
      <c r="M22" s="106">
        <f>IFERROR(__xludf.DUMMYFUNCTION("GOOGLEFINANCE(B22,""pe"")"),59.87)</f>
        <v>59.87</v>
      </c>
      <c r="N22" s="100">
        <f t="shared" si="6"/>
        <v>647105</v>
      </c>
      <c r="O22" s="100">
        <f t="shared" si="7"/>
        <v>1548.098086</v>
      </c>
      <c r="P22" s="107">
        <f>IFERROR(__xludf.DUMMYFUNCTION("index(sortn(GoogleFinance(B22,""high"",DATE(2020,1,1), TODAY(),""DAILY""),2,1,2,0),2,2)"),2672.5)</f>
        <v>2672.5</v>
      </c>
      <c r="Q22" s="64" t="b">
        <f t="shared" si="8"/>
        <v>1</v>
      </c>
      <c r="S22" s="8" t="s">
        <v>61</v>
      </c>
      <c r="T22" s="27">
        <f t="shared" si="10"/>
        <v>0.02511560745</v>
      </c>
      <c r="AD22" s="108"/>
      <c r="AE22" s="108"/>
      <c r="AF22" s="108"/>
      <c r="AG22" s="108"/>
      <c r="AH22" s="108"/>
      <c r="AI22" s="108"/>
      <c r="AJ22" s="108"/>
    </row>
    <row r="23" ht="22.5" customHeight="1">
      <c r="A23" s="98" t="s">
        <v>291</v>
      </c>
      <c r="B23" s="98" t="s">
        <v>116</v>
      </c>
      <c r="C23" s="100">
        <f>((vibhanshu!C20*vibhanshu!D20)+(manjari!C22*manjari!D22)+(HUF!B23*HUF!C23))/D23</f>
        <v>778.9255556</v>
      </c>
      <c r="D23" s="100">
        <f>vibhanshu!D20+manjari!D22+HUF!C23</f>
        <v>1350</v>
      </c>
      <c r="E23" s="63">
        <f>IFERROR(__xludf.DUMMYFUNCTION("GOOGLEFINANCE(B23,""PRICE"")"),767.0)</f>
        <v>767</v>
      </c>
      <c r="F23" s="103">
        <f>IFERROR(__xludf.DUMMYFUNCTION("GOOGLEFINANCE(B23,""MARKETCAP"")/10000000"),6953.449425)</f>
        <v>6953.449425</v>
      </c>
      <c r="G23" s="104">
        <f t="shared" si="1"/>
        <v>1051549.5</v>
      </c>
      <c r="H23" s="100">
        <f t="shared" si="2"/>
        <v>1035450</v>
      </c>
      <c r="I23" s="97">
        <v>46043.0</v>
      </c>
      <c r="J23" s="105">
        <f t="shared" si="3"/>
        <v>-0.01531026357</v>
      </c>
      <c r="K23" s="105">
        <f t="shared" si="4"/>
        <v>0.02055002646</v>
      </c>
      <c r="L23" s="105">
        <f t="shared" si="5"/>
        <v>0.02055002646</v>
      </c>
      <c r="M23" s="106">
        <f>IFERROR(__xludf.DUMMYFUNCTION("GOOGLEFINANCE(B23,""pe"")"),32.53)</f>
        <v>32.53</v>
      </c>
      <c r="N23" s="100">
        <f t="shared" si="6"/>
        <v>840850</v>
      </c>
      <c r="O23" s="100">
        <f t="shared" si="7"/>
        <v>622.8518519</v>
      </c>
      <c r="P23" s="107">
        <f>IFERROR(__xludf.DUMMYFUNCTION("index(sortn(GoogleFinance(B23,""high"",DATE(2020,1,1), TODAY(),""DAILY""),2,1,2,0),2,2)"),971.0)</f>
        <v>971</v>
      </c>
      <c r="Q23" s="64" t="b">
        <f t="shared" si="8"/>
        <v>1</v>
      </c>
      <c r="S23" s="109" t="s">
        <v>291</v>
      </c>
      <c r="T23" s="27">
        <f>K23</f>
        <v>0.02055002646</v>
      </c>
    </row>
    <row r="24" ht="22.5" customHeight="1">
      <c r="A24" s="98" t="s">
        <v>292</v>
      </c>
      <c r="B24" s="98" t="s">
        <v>119</v>
      </c>
      <c r="C24" s="100">
        <f>((vibhanshu!C22*vibhanshu!D22)+(manjari!C23*manjari!D23)+(HUF!B25*HUF!C25))/D24</f>
        <v>531.8283333</v>
      </c>
      <c r="D24" s="100">
        <f>vibhanshu!D22+manjari!D23+HUF!C25</f>
        <v>1800</v>
      </c>
      <c r="E24" s="63">
        <f>IFERROR(__xludf.DUMMYFUNCTION("GOOGLEFINANCE(B24,""PRICE"")"),579.65)</f>
        <v>579.65</v>
      </c>
      <c r="F24" s="103">
        <f>IFERROR(__xludf.DUMMYFUNCTION("GOOGLEFINANCE(B24,""MARKETCAP"")/10000000"),36055.8719281)</f>
        <v>36055.87193</v>
      </c>
      <c r="G24" s="104">
        <f t="shared" si="1"/>
        <v>957291</v>
      </c>
      <c r="H24" s="100">
        <f t="shared" si="2"/>
        <v>1043370</v>
      </c>
      <c r="I24" s="97">
        <v>46060.0</v>
      </c>
      <c r="J24" s="105">
        <f t="shared" si="3"/>
        <v>0.08991936621</v>
      </c>
      <c r="K24" s="105">
        <f t="shared" si="4"/>
        <v>0.0207072105</v>
      </c>
      <c r="L24" s="105">
        <f t="shared" si="5"/>
        <v>0.0207072105</v>
      </c>
      <c r="M24" s="110">
        <f>IFERROR(__xludf.DUMMYFUNCTION("GOOGLEFINANCE(B24,""pe"")"),56.28)</f>
        <v>56.28</v>
      </c>
      <c r="N24" s="100">
        <f t="shared" si="6"/>
        <v>1041820</v>
      </c>
      <c r="O24" s="100">
        <f t="shared" si="7"/>
        <v>578.7888889</v>
      </c>
      <c r="P24" s="107">
        <f>IFERROR(__xludf.DUMMYFUNCTION("index(sortn(GoogleFinance(B24,""high"",DATE(2020,1,1), TODAY(),""DAILY""),2,1,2,0),2,2)"),839.9)</f>
        <v>839.9</v>
      </c>
      <c r="Q24" s="64" t="b">
        <f t="shared" si="8"/>
        <v>1</v>
      </c>
      <c r="S24" s="8" t="s">
        <v>293</v>
      </c>
      <c r="T24" s="27">
        <f>K21</f>
        <v>0.02724027121</v>
      </c>
      <c r="V24" s="75" t="s">
        <v>260</v>
      </c>
      <c r="W24" s="93">
        <f>W21+W20</f>
        <v>0.02776625226</v>
      </c>
      <c r="Y24" s="75" t="s">
        <v>294</v>
      </c>
      <c r="Z24" s="93" t="str">
        <f>Z15+T25+Z26</f>
        <v>#REF!</v>
      </c>
    </row>
    <row r="25" ht="22.5" customHeight="1">
      <c r="A25" s="96" t="s">
        <v>295</v>
      </c>
      <c r="B25" s="96" t="s">
        <v>160</v>
      </c>
      <c r="C25" s="100">
        <f>(HUF!B24*HUF!C24)/D25</f>
        <v>4395</v>
      </c>
      <c r="D25" s="100">
        <f>HUF!C24</f>
        <v>150</v>
      </c>
      <c r="E25" s="63">
        <f>IFERROR(__xludf.DUMMYFUNCTION("GOOGLEFINANCE(B25,""PRICE"")"),3807.0)</f>
        <v>3807</v>
      </c>
      <c r="F25" s="103">
        <f>IFERROR(__xludf.DUMMYFUNCTION("GOOGLEFINANCE(B25,""MARKETCAP"")/10000000"),5627.155)</f>
        <v>5627.155</v>
      </c>
      <c r="G25" s="104">
        <f t="shared" si="1"/>
        <v>659250</v>
      </c>
      <c r="H25" s="100">
        <f t="shared" si="2"/>
        <v>571050</v>
      </c>
      <c r="I25" s="97">
        <v>46065.0</v>
      </c>
      <c r="J25" s="105">
        <f t="shared" si="3"/>
        <v>-0.1337883959</v>
      </c>
      <c r="K25" s="105">
        <f t="shared" si="4"/>
        <v>0.0113333262</v>
      </c>
      <c r="L25" s="105">
        <f t="shared" si="5"/>
        <v>0.0113333262</v>
      </c>
      <c r="M25" s="110" t="str">
        <f>IFERROR(__xludf.DUMMYFUNCTION("GOOGLEFINANCE(B25,""pe"")"),"#N/A")</f>
        <v>#N/A</v>
      </c>
      <c r="N25" s="100">
        <f t="shared" si="6"/>
        <v>332200</v>
      </c>
      <c r="O25" s="100">
        <f t="shared" si="7"/>
        <v>2214.666667</v>
      </c>
      <c r="P25" s="107">
        <f>IFERROR(__xludf.DUMMYFUNCTION("index(sortn(GoogleFinance(B25,""high"",DATE(2020,1,1), TODAY(),""DAILY""),2,1,2,0),2,2)"),5348.0)</f>
        <v>5348</v>
      </c>
      <c r="Q25" s="64" t="b">
        <f t="shared" si="8"/>
        <v>1</v>
      </c>
      <c r="T25" s="93">
        <f>SUM(T18:T24)</f>
        <v>0.2595864776</v>
      </c>
      <c r="W25" s="93">
        <f>SUM(W20:W22)</f>
        <v>0.02776625226</v>
      </c>
      <c r="AD25" s="108"/>
      <c r="AE25" s="108"/>
      <c r="AF25" s="108"/>
      <c r="AG25" s="108"/>
      <c r="AH25" s="108"/>
      <c r="AI25" s="108"/>
      <c r="AJ25" s="108"/>
    </row>
    <row r="26" ht="22.5" customHeight="1">
      <c r="A26" s="96" t="s">
        <v>120</v>
      </c>
      <c r="B26" s="96" t="s">
        <v>121</v>
      </c>
      <c r="C26" s="100">
        <f>((manjari!C24*manjari!D24)+(HUF!B26*HUF!C26)+(vibhanshu!C23*vibhanshu!D23))/D26</f>
        <v>115.7025574</v>
      </c>
      <c r="D26" s="100">
        <f>vibhanshu!D23+HUF!C26+manjari!D24</f>
        <v>5877</v>
      </c>
      <c r="E26" s="63">
        <f>IFERROR(__xludf.DUMMYFUNCTION("GOOGLEFINANCE(B26,""PRICE"")"),141.1)</f>
        <v>141.1</v>
      </c>
      <c r="F26" s="103">
        <f>IFERROR(__xludf.DUMMYFUNCTION("GOOGLEFINANCE(B26,""MARKETCAP"")/10000000"),15599.029994)</f>
        <v>15599.02999</v>
      </c>
      <c r="G26" s="104">
        <f t="shared" si="1"/>
        <v>679983.93</v>
      </c>
      <c r="H26" s="100">
        <f t="shared" si="2"/>
        <v>829244.7</v>
      </c>
      <c r="I26" s="97">
        <v>46079.0</v>
      </c>
      <c r="J26" s="105">
        <f t="shared" si="3"/>
        <v>0.2195063198</v>
      </c>
      <c r="K26" s="105">
        <f t="shared" si="4"/>
        <v>0.01645757934</v>
      </c>
      <c r="L26" s="105">
        <f t="shared" si="5"/>
        <v>0.01645757934</v>
      </c>
      <c r="M26" s="110">
        <f>IFERROR(__xludf.DUMMYFUNCTION("GOOGLEFINANCE(B26,""pe"")"),6.59)</f>
        <v>6.59</v>
      </c>
      <c r="N26" s="100">
        <f t="shared" si="6"/>
        <v>426242.5</v>
      </c>
      <c r="O26" s="100">
        <f t="shared" si="7"/>
        <v>72.52722477</v>
      </c>
      <c r="P26" s="107">
        <f>IFERROR(__xludf.DUMMYFUNCTION("index(sortn(GoogleFinance(B26,""high"",DATE(2020,1,1), TODAY(),""DAILY""),2,1,2,0),2,2)"),152.5)</f>
        <v>152.5</v>
      </c>
      <c r="Q26" s="64" t="b">
        <f t="shared" si="8"/>
        <v>1</v>
      </c>
      <c r="S26" s="8" t="s">
        <v>296</v>
      </c>
      <c r="V26" s="75" t="s">
        <v>297</v>
      </c>
      <c r="W26" s="20" t="str">
        <f>T10+T15+T25+W6+W17+W25+Z15</f>
        <v>#REF!</v>
      </c>
      <c r="Y26" s="75" t="s">
        <v>298</v>
      </c>
      <c r="Z26" s="93">
        <f>Z33</f>
        <v>0.02792249358</v>
      </c>
      <c r="AD26" s="108"/>
      <c r="AE26" s="108"/>
      <c r="AF26" s="108"/>
      <c r="AG26" s="108"/>
      <c r="AH26" s="108"/>
      <c r="AI26" s="108"/>
      <c r="AJ26" s="108"/>
    </row>
    <row r="27">
      <c r="S27" s="8"/>
      <c r="V27" s="75"/>
      <c r="Y27" s="75"/>
      <c r="Z27" s="93"/>
      <c r="AD27" s="108"/>
      <c r="AE27" s="108"/>
      <c r="AF27" s="108"/>
      <c r="AG27" s="108"/>
      <c r="AH27" s="108"/>
      <c r="AI27" s="108"/>
      <c r="AJ27" s="108"/>
    </row>
    <row r="28">
      <c r="S28" s="8"/>
      <c r="V28" s="75"/>
      <c r="Y28" s="75"/>
      <c r="Z28" s="93"/>
      <c r="AD28" s="108"/>
      <c r="AE28" s="108"/>
      <c r="AF28" s="108"/>
      <c r="AG28" s="108"/>
      <c r="AH28" s="108"/>
      <c r="AI28" s="108"/>
      <c r="AJ28" s="108"/>
    </row>
    <row r="29">
      <c r="S29" s="8"/>
      <c r="V29" s="75"/>
      <c r="Y29" s="75"/>
      <c r="Z29" s="93"/>
      <c r="AD29" s="108"/>
      <c r="AE29" s="108"/>
      <c r="AF29" s="108"/>
      <c r="AG29" s="108"/>
      <c r="AH29" s="108"/>
      <c r="AI29" s="108"/>
      <c r="AJ29" s="108"/>
    </row>
    <row r="30">
      <c r="S30" s="8"/>
      <c r="V30" s="75"/>
      <c r="Y30" s="75"/>
      <c r="Z30" s="93"/>
      <c r="AD30" s="108"/>
      <c r="AE30" s="108"/>
      <c r="AF30" s="108"/>
      <c r="AG30" s="108"/>
      <c r="AH30" s="108"/>
      <c r="AI30" s="108"/>
      <c r="AJ30" s="108"/>
    </row>
    <row r="31">
      <c r="C31" s="111">
        <v>1.28850993E9</v>
      </c>
      <c r="D31" s="111">
        <v>7.91720776E8</v>
      </c>
      <c r="S31" s="8"/>
      <c r="V31" s="75"/>
      <c r="Y31" s="75"/>
      <c r="Z31" s="93"/>
      <c r="AD31" s="108"/>
      <c r="AE31" s="108"/>
      <c r="AF31" s="108"/>
      <c r="AG31" s="108"/>
      <c r="AH31" s="108"/>
      <c r="AI31" s="108"/>
      <c r="AJ31" s="108"/>
    </row>
    <row r="32">
      <c r="S32" s="8"/>
      <c r="V32" s="75"/>
      <c r="Y32" s="75"/>
      <c r="Z32" s="93"/>
      <c r="AD32" s="108"/>
      <c r="AE32" s="108"/>
      <c r="AF32" s="108"/>
      <c r="AG32" s="108"/>
      <c r="AH32" s="108"/>
      <c r="AI32" s="108"/>
      <c r="AJ32" s="108"/>
    </row>
    <row r="33">
      <c r="S33" s="8" t="s">
        <v>299</v>
      </c>
      <c r="V33" s="75" t="s">
        <v>300</v>
      </c>
      <c r="W33" s="27">
        <f>Z17+Z9</f>
        <v>0</v>
      </c>
      <c r="Y33" s="8" t="s">
        <v>62</v>
      </c>
      <c r="Z33" s="27">
        <f>K15</f>
        <v>0.02792249358</v>
      </c>
    </row>
    <row r="34">
      <c r="A34" s="112" t="s">
        <v>301</v>
      </c>
      <c r="B34" s="112">
        <f>'US portfolio'!I54</f>
        <v>0</v>
      </c>
      <c r="C34" s="113">
        <f>B34/B39</f>
        <v>0</v>
      </c>
      <c r="S34" s="8"/>
      <c r="V34" s="75"/>
      <c r="Y34" s="8"/>
    </row>
    <row r="35">
      <c r="A35" s="112" t="s">
        <v>302</v>
      </c>
      <c r="B35" s="112">
        <f>'US portfolio'!I55</f>
        <v>0</v>
      </c>
      <c r="C35" s="113">
        <f>B35/B39</f>
        <v>0</v>
      </c>
      <c r="S35" s="8"/>
      <c r="V35" s="75"/>
      <c r="Y35" s="8"/>
    </row>
    <row r="36">
      <c r="A36" s="8" t="s">
        <v>147</v>
      </c>
      <c r="B36" s="20">
        <f>H16+'US portfolio'!I56</f>
        <v>663563.5316</v>
      </c>
      <c r="C36" s="113">
        <f>B36/B39</f>
        <v>0.1559808237</v>
      </c>
      <c r="S36" s="8"/>
      <c r="V36" s="75"/>
      <c r="Y36" s="8"/>
    </row>
    <row r="37">
      <c r="A37" s="8" t="s">
        <v>105</v>
      </c>
      <c r="B37" s="20">
        <f>H17+'US portfolio'!I53+MANJBHAWNA!F3/2</f>
        <v>1729071.79</v>
      </c>
      <c r="C37" s="113">
        <f t="shared" ref="C37:C38" si="11">B37/$B$39</f>
        <v>0.4064449433</v>
      </c>
      <c r="S37" s="8"/>
      <c r="V37" s="75"/>
      <c r="Y37" s="8"/>
    </row>
    <row r="38">
      <c r="A38" s="8" t="s">
        <v>303</v>
      </c>
      <c r="B38" s="20">
        <f>H18</f>
        <v>1861500</v>
      </c>
      <c r="C38" s="113">
        <f t="shared" si="11"/>
        <v>0.4375742329</v>
      </c>
      <c r="S38" s="8"/>
      <c r="V38" s="75"/>
      <c r="Y38" s="8"/>
    </row>
    <row r="39">
      <c r="A39" s="114" t="s">
        <v>304</v>
      </c>
      <c r="B39" s="115">
        <f>SUM(B34:B38)</f>
        <v>4254135.321</v>
      </c>
      <c r="C39" s="116">
        <f>B39/H46</f>
        <v>0.08442956534</v>
      </c>
      <c r="J39" s="27"/>
      <c r="L39" s="8">
        <v>2780.0</v>
      </c>
      <c r="S39" s="8" t="s">
        <v>305</v>
      </c>
      <c r="W39" s="20" t="str">
        <f>SUM(W26:W33)</f>
        <v>#REF!</v>
      </c>
    </row>
    <row r="40">
      <c r="H40" s="8" t="s">
        <v>124</v>
      </c>
      <c r="L40" s="8">
        <v>1420.0</v>
      </c>
      <c r="AD40" s="108"/>
      <c r="AE40" s="108"/>
      <c r="AF40" s="108"/>
      <c r="AG40" s="108"/>
      <c r="AH40" s="108"/>
      <c r="AI40" s="108"/>
      <c r="AJ40" s="108"/>
    </row>
    <row r="41">
      <c r="A41" s="8" t="s">
        <v>306</v>
      </c>
      <c r="B41" s="20">
        <f>B37+B36+B35+B34</f>
        <v>2392635.321</v>
      </c>
      <c r="C41" s="20">
        <f>B41/H46</f>
        <v>0.04748536305</v>
      </c>
      <c r="H41" s="20">
        <f>'US portfolio'!F59</f>
        <v>2008430.385</v>
      </c>
      <c r="I41" s="8" t="s">
        <v>307</v>
      </c>
      <c r="J41" s="20">
        <f>SUM(H41:H45)</f>
        <v>4552755.883</v>
      </c>
      <c r="L41" s="8">
        <v>2500.0</v>
      </c>
      <c r="S41" s="20">
        <f>T25*H46</f>
        <v>13079731</v>
      </c>
      <c r="Y41" s="75"/>
      <c r="AD41" s="108"/>
      <c r="AE41" s="108"/>
      <c r="AF41" s="108"/>
      <c r="AG41" s="108"/>
      <c r="AH41" s="108"/>
      <c r="AI41" s="108"/>
      <c r="AJ41" s="108"/>
    </row>
    <row r="42">
      <c r="H42" s="8">
        <v>9.27</v>
      </c>
      <c r="I42" s="8" t="s">
        <v>308</v>
      </c>
      <c r="J42" s="20">
        <f>J41/(J41+H48)</f>
        <v>0.06652229199</v>
      </c>
      <c r="AD42" s="108"/>
      <c r="AE42" s="108"/>
      <c r="AF42" s="108"/>
      <c r="AG42" s="108"/>
      <c r="AH42" s="108"/>
      <c r="AI42" s="108"/>
      <c r="AJ42" s="108"/>
    </row>
    <row r="43">
      <c r="H43" s="8">
        <v>12.93</v>
      </c>
      <c r="I43" s="8" t="s">
        <v>154</v>
      </c>
      <c r="S43" s="27">
        <f>T25+W6</f>
        <v>0.2595864776</v>
      </c>
      <c r="T43" s="8" t="s">
        <v>309</v>
      </c>
      <c r="Y43" s="75" t="s">
        <v>310</v>
      </c>
      <c r="Z43" s="93">
        <f>Z46+Z44+Z45</f>
        <v>0.1207264012</v>
      </c>
    </row>
    <row r="44">
      <c r="H44" s="8">
        <v>8.2</v>
      </c>
      <c r="I44" s="8" t="s">
        <v>153</v>
      </c>
      <c r="T44" s="8" t="s">
        <v>311</v>
      </c>
    </row>
    <row r="45">
      <c r="H45" s="20">
        <f>'US portfolio'!F58</f>
        <v>2544295.098</v>
      </c>
      <c r="I45" s="8" t="s">
        <v>312</v>
      </c>
      <c r="J45" s="27"/>
      <c r="Y45" s="8" t="s">
        <v>94</v>
      </c>
      <c r="Z45" s="27">
        <f>K9</f>
        <v>0.1207264012</v>
      </c>
    </row>
    <row r="46">
      <c r="F46" s="117"/>
      <c r="H46" s="20">
        <f>SUM(H2:H26)+'US portfolio'!G51</f>
        <v>50386796.43</v>
      </c>
      <c r="L46" s="20">
        <f>J46/380</f>
        <v>0</v>
      </c>
    </row>
    <row r="47">
      <c r="F47" s="8" t="s">
        <v>313</v>
      </c>
      <c r="G47" s="8" t="s">
        <v>314</v>
      </c>
      <c r="H47" s="8">
        <v>1.35E7</v>
      </c>
      <c r="I47" s="27"/>
      <c r="L47" s="20">
        <f>J47/405</f>
        <v>0</v>
      </c>
      <c r="M47" s="20">
        <f t="shared" ref="M47:M48" si="12">L47/3</f>
        <v>0</v>
      </c>
      <c r="P47" s="20">
        <f>SUM(P45:P46)</f>
        <v>0</v>
      </c>
    </row>
    <row r="48">
      <c r="F48" s="8">
        <v>4.7E7</v>
      </c>
      <c r="H48" s="20">
        <f>H46+H47</f>
        <v>63886796.43</v>
      </c>
      <c r="I48" s="20">
        <f>J41/H48</f>
        <v>0.07126286083</v>
      </c>
      <c r="L48" s="20">
        <f>J48/375</f>
        <v>0</v>
      </c>
      <c r="M48" s="20">
        <f t="shared" si="12"/>
        <v>0</v>
      </c>
    </row>
    <row r="49">
      <c r="F49" s="20">
        <f>0.01*F48</f>
        <v>470000</v>
      </c>
      <c r="G49" s="8" t="s">
        <v>315</v>
      </c>
      <c r="H49" s="20">
        <f>vibhanshu!G27+HUF!F28+manjari!G27+'US portfolio'!G51</f>
        <v>50386796.43</v>
      </c>
      <c r="L49" s="20">
        <f>J49/415</f>
        <v>0</v>
      </c>
    </row>
    <row r="50">
      <c r="G50" s="8" t="s">
        <v>308</v>
      </c>
      <c r="H50" s="8">
        <v>32.0</v>
      </c>
      <c r="M50" s="8">
        <v>10.31</v>
      </c>
    </row>
    <row r="51">
      <c r="G51" s="8" t="s">
        <v>316</v>
      </c>
      <c r="M51" s="8">
        <v>12.72</v>
      </c>
    </row>
    <row r="52">
      <c r="F52" s="20">
        <f>0.8*F49</f>
        <v>376000</v>
      </c>
      <c r="G52" s="8" t="s">
        <v>154</v>
      </c>
      <c r="M52" s="8">
        <v>4.63</v>
      </c>
    </row>
    <row r="53">
      <c r="F53" s="117"/>
      <c r="G53" s="8">
        <v>9.22</v>
      </c>
      <c r="M53" s="20">
        <f>M50+M51+M52</f>
        <v>27.66</v>
      </c>
    </row>
    <row r="54">
      <c r="F54" s="117"/>
      <c r="G54" s="8">
        <v>5.16</v>
      </c>
      <c r="H54" s="20">
        <f>F48-H49</f>
        <v>-3386796.428</v>
      </c>
      <c r="J54" s="27"/>
    </row>
    <row r="55">
      <c r="F55" s="117"/>
      <c r="H55" s="20">
        <f>H54/F48</f>
        <v>-0.07205949848</v>
      </c>
      <c r="J55" s="27"/>
      <c r="K55" s="27"/>
    </row>
    <row r="56">
      <c r="F56" s="117"/>
      <c r="J56" s="27"/>
      <c r="K56" s="27"/>
    </row>
    <row r="57">
      <c r="F57" s="117"/>
      <c r="J57" s="27"/>
      <c r="K57" s="27"/>
    </row>
    <row r="58">
      <c r="F58" s="118">
        <v>1.2</v>
      </c>
      <c r="J58" s="27"/>
      <c r="K58" s="27"/>
    </row>
    <row r="59">
      <c r="F59" s="118">
        <v>1.8</v>
      </c>
      <c r="J59" s="27"/>
      <c r="K59" s="27"/>
    </row>
    <row r="60">
      <c r="F60" s="118">
        <v>2.7</v>
      </c>
      <c r="G60" s="20">
        <f t="shared" ref="G60:G63" si="13">F60/2</f>
        <v>1.35</v>
      </c>
      <c r="J60" s="27"/>
      <c r="K60" s="27"/>
    </row>
    <row r="61">
      <c r="F61" s="117">
        <f t="shared" ref="F61:F64" si="14">F60+G60</f>
        <v>4.05</v>
      </c>
      <c r="G61" s="20">
        <f t="shared" si="13"/>
        <v>2.025</v>
      </c>
      <c r="J61" s="27"/>
      <c r="K61" s="27"/>
    </row>
    <row r="62">
      <c r="F62" s="117">
        <f t="shared" si="14"/>
        <v>6.075</v>
      </c>
      <c r="G62" s="20">
        <f t="shared" si="13"/>
        <v>3.0375</v>
      </c>
      <c r="J62" s="27"/>
      <c r="K62" s="27"/>
    </row>
    <row r="63">
      <c r="F63" s="117">
        <f t="shared" si="14"/>
        <v>9.1125</v>
      </c>
      <c r="G63" s="20">
        <f t="shared" si="13"/>
        <v>4.55625</v>
      </c>
      <c r="J63" s="27"/>
      <c r="K63" s="27"/>
    </row>
    <row r="64">
      <c r="D64" s="119"/>
      <c r="E64" s="119"/>
      <c r="F64" s="117">
        <f t="shared" si="14"/>
        <v>13.66875</v>
      </c>
      <c r="J64" s="27"/>
      <c r="K64" s="27"/>
    </row>
    <row r="65">
      <c r="D65" s="120"/>
      <c r="E65" s="121" t="s">
        <v>317</v>
      </c>
      <c r="F65" s="117"/>
      <c r="J65" s="27"/>
      <c r="K65" s="27"/>
    </row>
    <row r="66">
      <c r="A66" s="122" t="s">
        <v>318</v>
      </c>
      <c r="B66" s="16" t="s">
        <v>319</v>
      </c>
      <c r="C66" s="16">
        <v>2024.0</v>
      </c>
      <c r="D66" s="16" t="s">
        <v>320</v>
      </c>
      <c r="E66" s="19"/>
      <c r="F66" s="117"/>
      <c r="J66" s="27"/>
      <c r="K66" s="27"/>
    </row>
    <row r="67">
      <c r="A67" s="16" t="s">
        <v>321</v>
      </c>
      <c r="B67" s="16" t="s">
        <v>322</v>
      </c>
      <c r="C67" s="16">
        <v>2025.0</v>
      </c>
      <c r="D67" s="16" t="s">
        <v>323</v>
      </c>
      <c r="E67" s="16" t="s">
        <v>324</v>
      </c>
      <c r="F67" s="117"/>
      <c r="J67" s="27"/>
      <c r="K67" s="27"/>
    </row>
    <row r="68">
      <c r="A68" s="16">
        <v>9.6</v>
      </c>
      <c r="B68" s="16" t="s">
        <v>319</v>
      </c>
      <c r="C68" s="16">
        <v>2026.0</v>
      </c>
      <c r="D68" s="19">
        <f>A68*0.3+0.5</f>
        <v>3.38</v>
      </c>
      <c r="E68" s="19"/>
      <c r="F68" s="118"/>
      <c r="J68" s="27"/>
      <c r="K68" s="27"/>
    </row>
    <row r="69">
      <c r="A69" s="19">
        <f t="shared" ref="A69:A82" si="15">D68+A68</f>
        <v>12.98</v>
      </c>
      <c r="B69" s="16" t="s">
        <v>319</v>
      </c>
      <c r="C69" s="16">
        <v>2027.0</v>
      </c>
      <c r="D69" s="19">
        <f>A69*0.3+0.6</f>
        <v>4.494</v>
      </c>
      <c r="E69" s="19"/>
      <c r="F69" s="117"/>
      <c r="J69" s="27"/>
      <c r="K69" s="27"/>
    </row>
    <row r="70">
      <c r="A70" s="19">
        <f t="shared" si="15"/>
        <v>17.474</v>
      </c>
      <c r="B70" s="16" t="s">
        <v>319</v>
      </c>
      <c r="C70" s="16">
        <v>2028.0</v>
      </c>
      <c r="D70" s="19">
        <f>A70*0.3+0.7</f>
        <v>5.9422</v>
      </c>
      <c r="E70" s="19"/>
      <c r="F70" s="117"/>
      <c r="I70" s="30"/>
      <c r="J70" s="27"/>
      <c r="K70" s="27"/>
    </row>
    <row r="71">
      <c r="A71" s="19">
        <f t="shared" si="15"/>
        <v>23.4162</v>
      </c>
      <c r="B71" s="16" t="s">
        <v>319</v>
      </c>
      <c r="C71" s="16">
        <v>2029.0</v>
      </c>
      <c r="D71" s="19">
        <f>A71*0.3+0.8</f>
        <v>7.82486</v>
      </c>
      <c r="E71" s="19"/>
      <c r="F71" s="117"/>
      <c r="I71" s="27"/>
      <c r="J71" s="27"/>
      <c r="K71" s="27"/>
    </row>
    <row r="72">
      <c r="A72" s="19">
        <f t="shared" si="15"/>
        <v>31.24106</v>
      </c>
      <c r="B72" s="16" t="s">
        <v>319</v>
      </c>
      <c r="C72" s="123">
        <v>2030.0</v>
      </c>
      <c r="D72" s="19">
        <f>A72*0.3+0.9</f>
        <v>10.272318</v>
      </c>
      <c r="E72" s="124"/>
      <c r="F72" s="117"/>
      <c r="J72" s="27"/>
      <c r="K72" s="27"/>
    </row>
    <row r="73">
      <c r="A73" s="19">
        <f t="shared" si="15"/>
        <v>41.513378</v>
      </c>
      <c r="B73" s="16" t="s">
        <v>319</v>
      </c>
      <c r="C73" s="16">
        <v>2031.0</v>
      </c>
      <c r="D73" s="19">
        <f t="shared" ref="D73:D82" si="16">A73*0.3-0.5</f>
        <v>11.9540134</v>
      </c>
      <c r="E73" s="19"/>
      <c r="F73" s="117"/>
      <c r="J73" s="27"/>
      <c r="K73" s="27"/>
    </row>
    <row r="74">
      <c r="A74" s="19">
        <f t="shared" si="15"/>
        <v>53.4673914</v>
      </c>
      <c r="B74" s="16" t="s">
        <v>319</v>
      </c>
      <c r="C74" s="16">
        <v>2032.0</v>
      </c>
      <c r="D74" s="19">
        <f t="shared" si="16"/>
        <v>15.54021742</v>
      </c>
      <c r="E74" s="19"/>
      <c r="F74" s="117"/>
      <c r="J74" s="27"/>
      <c r="K74" s="27"/>
    </row>
    <row r="75">
      <c r="A75" s="19">
        <f t="shared" si="15"/>
        <v>69.00760882</v>
      </c>
      <c r="B75" s="16" t="s">
        <v>319</v>
      </c>
      <c r="C75" s="16">
        <v>2033.0</v>
      </c>
      <c r="D75" s="19">
        <f t="shared" si="16"/>
        <v>20.20228265</v>
      </c>
      <c r="E75" s="19"/>
      <c r="F75" s="117"/>
      <c r="J75" s="27"/>
      <c r="K75" s="27"/>
    </row>
    <row r="76">
      <c r="A76" s="19">
        <f t="shared" si="15"/>
        <v>89.20989147</v>
      </c>
      <c r="B76" s="16" t="s">
        <v>319</v>
      </c>
      <c r="C76" s="125">
        <v>2034.0</v>
      </c>
      <c r="D76" s="19">
        <f t="shared" si="16"/>
        <v>26.26296744</v>
      </c>
      <c r="E76" s="19"/>
      <c r="F76" s="117"/>
      <c r="J76" s="27"/>
      <c r="K76" s="27"/>
    </row>
    <row r="77">
      <c r="A77" s="19">
        <f t="shared" si="15"/>
        <v>115.4728589</v>
      </c>
      <c r="B77" s="16" t="s">
        <v>319</v>
      </c>
      <c r="C77" s="16">
        <v>2035.0</v>
      </c>
      <c r="D77" s="19">
        <f t="shared" si="16"/>
        <v>34.14185767</v>
      </c>
      <c r="E77" s="19"/>
      <c r="F77" s="117"/>
      <c r="J77" s="27"/>
      <c r="K77" s="27"/>
    </row>
    <row r="78">
      <c r="A78" s="19">
        <f t="shared" si="15"/>
        <v>149.6147166</v>
      </c>
      <c r="B78" s="16" t="s">
        <v>319</v>
      </c>
      <c r="C78" s="124">
        <v>2036.0</v>
      </c>
      <c r="D78" s="19">
        <f t="shared" si="16"/>
        <v>44.38441497</v>
      </c>
      <c r="E78" s="126"/>
      <c r="F78" s="117"/>
      <c r="J78" s="27"/>
      <c r="K78" s="27"/>
    </row>
    <row r="79">
      <c r="A79" s="19">
        <f t="shared" si="15"/>
        <v>193.9991316</v>
      </c>
      <c r="B79" s="16" t="s">
        <v>319</v>
      </c>
      <c r="C79" s="16">
        <v>2037.0</v>
      </c>
      <c r="D79" s="19">
        <f t="shared" si="16"/>
        <v>57.69973947</v>
      </c>
      <c r="E79" s="126"/>
      <c r="F79" s="117"/>
      <c r="J79" s="27"/>
      <c r="K79" s="27"/>
    </row>
    <row r="80">
      <c r="A80" s="19">
        <f t="shared" si="15"/>
        <v>251.698871</v>
      </c>
      <c r="B80" s="16" t="s">
        <v>319</v>
      </c>
      <c r="C80" s="16">
        <v>2038.0</v>
      </c>
      <c r="D80" s="19">
        <f t="shared" si="16"/>
        <v>75.0096613</v>
      </c>
      <c r="E80" s="19"/>
      <c r="F80" s="118"/>
      <c r="J80" s="27"/>
      <c r="K80" s="27"/>
    </row>
    <row r="81">
      <c r="A81" s="19">
        <f t="shared" si="15"/>
        <v>326.7085323</v>
      </c>
      <c r="B81" s="16" t="s">
        <v>319</v>
      </c>
      <c r="C81" s="16">
        <v>2039.0</v>
      </c>
      <c r="D81" s="19">
        <f t="shared" si="16"/>
        <v>97.5125597</v>
      </c>
      <c r="E81" s="19"/>
      <c r="F81" s="118"/>
      <c r="J81" s="27"/>
      <c r="K81" s="27"/>
    </row>
    <row r="82">
      <c r="A82" s="19">
        <f t="shared" si="15"/>
        <v>424.221092</v>
      </c>
      <c r="B82" s="16" t="s">
        <v>319</v>
      </c>
      <c r="C82" s="16">
        <v>2040.0</v>
      </c>
      <c r="D82" s="19">
        <f t="shared" si="16"/>
        <v>126.7663276</v>
      </c>
      <c r="E82" s="19"/>
      <c r="F82" s="118"/>
      <c r="I82" s="27"/>
      <c r="J82" s="27"/>
      <c r="K82" s="27"/>
    </row>
    <row r="83">
      <c r="F83" s="127"/>
      <c r="G83" s="128"/>
      <c r="H83" s="129"/>
      <c r="J83" s="27"/>
      <c r="K83" s="27"/>
    </row>
    <row r="84">
      <c r="A84" s="8" t="s">
        <v>325</v>
      </c>
      <c r="B84" s="8">
        <v>2030.0</v>
      </c>
      <c r="F84" s="118"/>
      <c r="J84" s="27"/>
      <c r="K84" s="27"/>
    </row>
    <row r="85">
      <c r="A85" s="8" t="s">
        <v>326</v>
      </c>
      <c r="B85" s="8">
        <v>2034.0</v>
      </c>
      <c r="F85" s="118"/>
      <c r="J85" s="27"/>
      <c r="K85" s="27"/>
    </row>
    <row r="86">
      <c r="F86" s="117"/>
      <c r="J86" s="27"/>
      <c r="K86" s="27"/>
    </row>
    <row r="87">
      <c r="F87" s="117"/>
      <c r="J87" s="27"/>
      <c r="K87" s="27"/>
    </row>
    <row r="88">
      <c r="A88" s="130" t="s">
        <v>327</v>
      </c>
      <c r="B88" s="130" t="s">
        <v>328</v>
      </c>
      <c r="C88" s="130" t="s">
        <v>327</v>
      </c>
      <c r="D88" s="130" t="s">
        <v>329</v>
      </c>
      <c r="E88" s="130" t="s">
        <v>327</v>
      </c>
      <c r="F88" s="130" t="s">
        <v>330</v>
      </c>
      <c r="G88" s="130" t="s">
        <v>327</v>
      </c>
      <c r="H88" s="130" t="s">
        <v>331</v>
      </c>
      <c r="I88" s="130" t="s">
        <v>327</v>
      </c>
      <c r="J88" s="130" t="s">
        <v>331</v>
      </c>
      <c r="K88" s="130" t="s">
        <v>327</v>
      </c>
      <c r="L88" s="130" t="s">
        <v>332</v>
      </c>
      <c r="M88" s="130" t="s">
        <v>327</v>
      </c>
      <c r="N88" s="130" t="s">
        <v>333</v>
      </c>
      <c r="O88" s="130" t="s">
        <v>327</v>
      </c>
      <c r="P88" s="130" t="s">
        <v>334</v>
      </c>
      <c r="Q88" s="130" t="s">
        <v>327</v>
      </c>
      <c r="R88" s="130" t="s">
        <v>335</v>
      </c>
      <c r="S88" s="130" t="s">
        <v>327</v>
      </c>
      <c r="T88" s="130" t="s">
        <v>336</v>
      </c>
      <c r="U88" s="130" t="s">
        <v>327</v>
      </c>
      <c r="V88" s="130" t="s">
        <v>337</v>
      </c>
    </row>
    <row r="89">
      <c r="A89" s="8" t="s">
        <v>338</v>
      </c>
      <c r="B89" s="8">
        <v>7.6</v>
      </c>
      <c r="C89" s="8" t="s">
        <v>339</v>
      </c>
      <c r="E89" s="8" t="s">
        <v>340</v>
      </c>
      <c r="F89" s="8">
        <v>6.2</v>
      </c>
      <c r="G89" s="131" t="s">
        <v>256</v>
      </c>
      <c r="H89" s="8">
        <v>6.0</v>
      </c>
      <c r="I89" s="131" t="s">
        <v>256</v>
      </c>
      <c r="J89" s="131">
        <v>6.2</v>
      </c>
      <c r="K89" s="37" t="s">
        <v>341</v>
      </c>
      <c r="L89" s="8">
        <v>6.7</v>
      </c>
      <c r="M89" s="37" t="s">
        <v>341</v>
      </c>
      <c r="N89" s="8">
        <v>7.5</v>
      </c>
      <c r="O89" s="37" t="s">
        <v>341</v>
      </c>
      <c r="P89" s="34">
        <v>7.4</v>
      </c>
      <c r="Q89" s="37" t="s">
        <v>341</v>
      </c>
      <c r="R89" s="34">
        <v>7.0</v>
      </c>
      <c r="S89" s="37" t="s">
        <v>341</v>
      </c>
      <c r="T89" s="34">
        <v>7.4</v>
      </c>
      <c r="U89" s="132" t="s">
        <v>342</v>
      </c>
      <c r="V89" s="34">
        <v>7.2</v>
      </c>
    </row>
    <row r="90">
      <c r="A90" s="8" t="s">
        <v>343</v>
      </c>
      <c r="B90" s="8">
        <v>7.5</v>
      </c>
      <c r="C90" s="8" t="s">
        <v>111</v>
      </c>
      <c r="E90" s="8" t="s">
        <v>344</v>
      </c>
      <c r="F90" s="8">
        <v>6.0</v>
      </c>
      <c r="G90" s="131" t="s">
        <v>345</v>
      </c>
      <c r="H90" s="8">
        <v>6.0</v>
      </c>
      <c r="I90" s="131" t="s">
        <v>346</v>
      </c>
      <c r="J90" s="131">
        <v>6.2</v>
      </c>
      <c r="K90" s="37" t="s">
        <v>347</v>
      </c>
      <c r="L90" s="8">
        <v>5.2</v>
      </c>
      <c r="M90" s="37" t="s">
        <v>347</v>
      </c>
      <c r="N90" s="8">
        <v>5.5</v>
      </c>
      <c r="O90" s="37" t="s">
        <v>342</v>
      </c>
      <c r="P90" s="34">
        <v>6.2</v>
      </c>
      <c r="Q90" s="37" t="s">
        <v>347</v>
      </c>
      <c r="R90" s="34">
        <v>6.1</v>
      </c>
      <c r="S90" s="37" t="s">
        <v>342</v>
      </c>
      <c r="T90" s="34">
        <v>5.9</v>
      </c>
      <c r="U90" s="132" t="s">
        <v>348</v>
      </c>
      <c r="V90" s="34">
        <v>6.2</v>
      </c>
    </row>
    <row r="91">
      <c r="A91" s="8" t="s">
        <v>349</v>
      </c>
      <c r="B91" s="8">
        <v>7.0</v>
      </c>
      <c r="C91" s="8" t="s">
        <v>349</v>
      </c>
      <c r="E91" s="8" t="s">
        <v>343</v>
      </c>
      <c r="F91" s="8">
        <v>5.9</v>
      </c>
      <c r="G91" s="131" t="s">
        <v>219</v>
      </c>
      <c r="H91" s="8">
        <v>5.8</v>
      </c>
      <c r="I91" s="131" t="s">
        <v>345</v>
      </c>
      <c r="J91" s="131">
        <v>6.1</v>
      </c>
      <c r="K91" s="37" t="s">
        <v>350</v>
      </c>
      <c r="L91" s="8">
        <v>5.1</v>
      </c>
      <c r="M91" s="37" t="s">
        <v>350</v>
      </c>
      <c r="N91" s="8">
        <v>5.2</v>
      </c>
      <c r="O91" s="37" t="s">
        <v>351</v>
      </c>
      <c r="P91" s="34">
        <v>5.7</v>
      </c>
      <c r="Q91" s="37" t="s">
        <v>342</v>
      </c>
      <c r="R91" s="34">
        <v>5.4</v>
      </c>
      <c r="S91" s="37" t="s">
        <v>347</v>
      </c>
      <c r="T91" s="34">
        <v>5.8</v>
      </c>
      <c r="U91" s="132" t="s">
        <v>352</v>
      </c>
      <c r="V91" s="34">
        <v>6.1</v>
      </c>
    </row>
    <row r="92">
      <c r="A92" s="8" t="s">
        <v>293</v>
      </c>
      <c r="B92" s="8">
        <v>6.6</v>
      </c>
      <c r="C92" s="8" t="s">
        <v>293</v>
      </c>
      <c r="E92" s="8" t="s">
        <v>353</v>
      </c>
      <c r="F92" s="8">
        <v>5.9</v>
      </c>
      <c r="G92" s="131" t="s">
        <v>354</v>
      </c>
      <c r="H92" s="8">
        <v>5.6</v>
      </c>
      <c r="I92" s="131" t="s">
        <v>53</v>
      </c>
      <c r="J92" s="131">
        <v>5.7</v>
      </c>
      <c r="K92" s="37" t="s">
        <v>355</v>
      </c>
      <c r="L92" s="8">
        <v>5.1</v>
      </c>
      <c r="M92" s="37" t="s">
        <v>355</v>
      </c>
      <c r="N92" s="8">
        <v>5.0</v>
      </c>
      <c r="O92" s="37" t="s">
        <v>347</v>
      </c>
      <c r="P92" s="34">
        <v>5.4</v>
      </c>
      <c r="Q92" s="37" t="s">
        <v>356</v>
      </c>
      <c r="R92" s="34">
        <v>5.4</v>
      </c>
      <c r="S92" s="37" t="s">
        <v>350</v>
      </c>
      <c r="T92" s="34">
        <v>5.8</v>
      </c>
      <c r="U92" s="132" t="s">
        <v>347</v>
      </c>
      <c r="V92" s="34">
        <v>6.0</v>
      </c>
    </row>
    <row r="93">
      <c r="A93" s="8" t="s">
        <v>67</v>
      </c>
      <c r="B93" s="8">
        <v>6.1</v>
      </c>
      <c r="C93" s="8" t="s">
        <v>67</v>
      </c>
      <c r="E93" s="8" t="s">
        <v>67</v>
      </c>
      <c r="F93" s="8">
        <v>5.8</v>
      </c>
      <c r="G93" s="131" t="s">
        <v>111</v>
      </c>
      <c r="H93" s="8">
        <v>5.6</v>
      </c>
      <c r="I93" s="131" t="s">
        <v>354</v>
      </c>
      <c r="J93" s="131">
        <v>4.9</v>
      </c>
      <c r="K93" s="37" t="s">
        <v>357</v>
      </c>
      <c r="L93" s="8">
        <v>5.0</v>
      </c>
      <c r="M93" s="37" t="s">
        <v>357</v>
      </c>
      <c r="N93" s="8">
        <v>4.7</v>
      </c>
      <c r="O93" s="37" t="s">
        <v>358</v>
      </c>
      <c r="P93" s="34">
        <v>5.3</v>
      </c>
      <c r="Q93" s="37" t="s">
        <v>358</v>
      </c>
      <c r="R93" s="34">
        <v>4.9</v>
      </c>
      <c r="S93" s="132" t="s">
        <v>359</v>
      </c>
      <c r="T93" s="34">
        <v>5.8</v>
      </c>
      <c r="U93" s="132" t="s">
        <v>341</v>
      </c>
      <c r="V93" s="34">
        <v>5.9</v>
      </c>
    </row>
    <row r="94">
      <c r="A94" s="8" t="s">
        <v>200</v>
      </c>
      <c r="B94" s="8">
        <v>5.8</v>
      </c>
      <c r="C94" s="8" t="s">
        <v>200</v>
      </c>
      <c r="E94" s="8" t="s">
        <v>360</v>
      </c>
      <c r="F94" s="8">
        <v>5.8</v>
      </c>
      <c r="G94" s="131" t="s">
        <v>53</v>
      </c>
      <c r="H94" s="8">
        <v>4.9</v>
      </c>
      <c r="I94" s="131" t="s">
        <v>361</v>
      </c>
      <c r="J94" s="131">
        <v>4.8</v>
      </c>
      <c r="K94" s="37" t="s">
        <v>342</v>
      </c>
      <c r="L94" s="8">
        <v>4.9</v>
      </c>
      <c r="M94" s="37" t="s">
        <v>342</v>
      </c>
      <c r="N94" s="8">
        <v>4.7</v>
      </c>
      <c r="O94" s="37" t="s">
        <v>67</v>
      </c>
      <c r="P94" s="34">
        <v>5.2</v>
      </c>
      <c r="Q94" s="37" t="s">
        <v>351</v>
      </c>
      <c r="R94" s="34">
        <v>4.8</v>
      </c>
      <c r="S94" s="37" t="s">
        <v>358</v>
      </c>
      <c r="T94" s="34">
        <v>5.4</v>
      </c>
      <c r="U94" s="132" t="s">
        <v>39</v>
      </c>
      <c r="V94" s="34">
        <v>5.7</v>
      </c>
    </row>
    <row r="95">
      <c r="A95" s="8" t="s">
        <v>16</v>
      </c>
      <c r="B95" s="8">
        <v>5.4</v>
      </c>
      <c r="C95" s="8" t="s">
        <v>16</v>
      </c>
      <c r="E95" s="8" t="s">
        <v>338</v>
      </c>
      <c r="F95" s="8">
        <v>5.8</v>
      </c>
      <c r="G95" s="131" t="s">
        <v>362</v>
      </c>
      <c r="H95" s="8">
        <v>4.9</v>
      </c>
      <c r="I95" s="131" t="s">
        <v>363</v>
      </c>
      <c r="J95" s="131">
        <v>4.7</v>
      </c>
      <c r="K95" s="37" t="s">
        <v>349</v>
      </c>
      <c r="L95" s="8">
        <v>5.3</v>
      </c>
      <c r="M95" s="37" t="s">
        <v>349</v>
      </c>
      <c r="N95" s="8">
        <v>4.8</v>
      </c>
      <c r="O95" s="37" t="s">
        <v>259</v>
      </c>
      <c r="P95" s="8">
        <v>4.9</v>
      </c>
      <c r="Q95" s="37" t="s">
        <v>350</v>
      </c>
      <c r="R95" s="34">
        <v>4.7</v>
      </c>
      <c r="S95" s="37" t="s">
        <v>364</v>
      </c>
      <c r="T95" s="34">
        <v>5.2</v>
      </c>
      <c r="U95" s="132" t="s">
        <v>365</v>
      </c>
      <c r="V95" s="34">
        <v>5.3</v>
      </c>
    </row>
    <row r="96">
      <c r="A96" s="8" t="s">
        <v>366</v>
      </c>
      <c r="B96" s="8">
        <v>4.8</v>
      </c>
      <c r="C96" s="8" t="s">
        <v>366</v>
      </c>
      <c r="E96" s="8" t="s">
        <v>349</v>
      </c>
      <c r="F96" s="8">
        <v>5.0</v>
      </c>
      <c r="G96" s="131" t="s">
        <v>367</v>
      </c>
      <c r="H96" s="8">
        <v>4.8</v>
      </c>
      <c r="I96" s="131" t="s">
        <v>51</v>
      </c>
      <c r="J96" s="131">
        <v>4.6</v>
      </c>
      <c r="K96" s="37" t="s">
        <v>368</v>
      </c>
      <c r="L96" s="8">
        <v>4.7</v>
      </c>
      <c r="M96" s="37" t="s">
        <v>87</v>
      </c>
      <c r="N96" s="8">
        <v>4.5</v>
      </c>
      <c r="O96" s="37" t="s">
        <v>369</v>
      </c>
      <c r="P96" s="34">
        <v>4.4</v>
      </c>
      <c r="Q96" s="37" t="s">
        <v>349</v>
      </c>
      <c r="R96" s="34">
        <v>4.6</v>
      </c>
      <c r="S96" s="37" t="s">
        <v>370</v>
      </c>
      <c r="T96" s="34">
        <v>4.9</v>
      </c>
      <c r="U96" s="132" t="s">
        <v>364</v>
      </c>
      <c r="V96" s="34">
        <v>5.1</v>
      </c>
    </row>
    <row r="97">
      <c r="A97" s="8" t="s">
        <v>361</v>
      </c>
      <c r="B97" s="8">
        <v>4.6</v>
      </c>
      <c r="C97" s="8" t="s">
        <v>361</v>
      </c>
      <c r="E97" s="8" t="s">
        <v>371</v>
      </c>
      <c r="F97" s="8">
        <v>4.6</v>
      </c>
      <c r="G97" s="131" t="s">
        <v>366</v>
      </c>
      <c r="H97" s="8">
        <v>4.4</v>
      </c>
      <c r="I97" s="131" t="s">
        <v>372</v>
      </c>
      <c r="J97" s="131">
        <v>4.3</v>
      </c>
      <c r="K97" s="37" t="s">
        <v>369</v>
      </c>
      <c r="L97" s="8">
        <v>4.5</v>
      </c>
      <c r="M97" s="37" t="s">
        <v>373</v>
      </c>
      <c r="N97" s="8">
        <v>4.5</v>
      </c>
      <c r="O97" s="37" t="s">
        <v>353</v>
      </c>
      <c r="P97" s="34">
        <v>4.1</v>
      </c>
      <c r="Q97" s="37" t="s">
        <v>67</v>
      </c>
      <c r="R97" s="34">
        <v>4.5</v>
      </c>
      <c r="S97" s="37" t="s">
        <v>374</v>
      </c>
      <c r="T97" s="34">
        <v>4.9</v>
      </c>
      <c r="U97" s="132" t="s">
        <v>375</v>
      </c>
      <c r="V97" s="34">
        <v>4.6</v>
      </c>
    </row>
    <row r="98">
      <c r="A98" s="8" t="s">
        <v>357</v>
      </c>
      <c r="B98" s="8">
        <v>4.5</v>
      </c>
      <c r="C98" s="8" t="s">
        <v>357</v>
      </c>
      <c r="E98" s="8" t="s">
        <v>357</v>
      </c>
      <c r="F98" s="8">
        <v>4.4</v>
      </c>
      <c r="G98" s="131" t="s">
        <v>357</v>
      </c>
      <c r="H98" s="8">
        <v>4.2</v>
      </c>
      <c r="I98" s="131" t="s">
        <v>357</v>
      </c>
      <c r="J98" s="131">
        <v>4.2</v>
      </c>
      <c r="K98" s="8" t="s">
        <v>363</v>
      </c>
      <c r="L98" s="8">
        <v>4.4</v>
      </c>
      <c r="M98" s="37" t="s">
        <v>369</v>
      </c>
      <c r="N98" s="8">
        <v>4.3</v>
      </c>
      <c r="O98" s="37" t="s">
        <v>222</v>
      </c>
      <c r="P98" s="34">
        <v>4.1</v>
      </c>
      <c r="Q98" s="8" t="s">
        <v>376</v>
      </c>
      <c r="R98" s="8">
        <v>4.4</v>
      </c>
      <c r="S98" s="37" t="s">
        <v>365</v>
      </c>
      <c r="T98" s="34">
        <v>4.6</v>
      </c>
      <c r="U98" s="132" t="s">
        <v>377</v>
      </c>
      <c r="V98" s="34">
        <v>4.1</v>
      </c>
    </row>
    <row r="99">
      <c r="A99" s="8" t="s">
        <v>378</v>
      </c>
      <c r="B99" s="8">
        <v>4.5</v>
      </c>
      <c r="C99" s="8" t="s">
        <v>378</v>
      </c>
      <c r="E99" s="8" t="s">
        <v>379</v>
      </c>
      <c r="F99" s="8">
        <v>4.4</v>
      </c>
      <c r="G99" s="131" t="s">
        <v>361</v>
      </c>
      <c r="H99" s="8">
        <v>4.0</v>
      </c>
      <c r="I99" s="8" t="s">
        <v>380</v>
      </c>
      <c r="J99" s="8">
        <v>4.1</v>
      </c>
      <c r="K99" s="8" t="s">
        <v>381</v>
      </c>
      <c r="L99" s="8">
        <v>4.2</v>
      </c>
      <c r="M99" s="8" t="s">
        <v>382</v>
      </c>
      <c r="N99" s="8">
        <v>4.2</v>
      </c>
      <c r="O99" s="37" t="s">
        <v>376</v>
      </c>
      <c r="P99" s="34">
        <v>3.8</v>
      </c>
      <c r="Q99" s="8" t="s">
        <v>357</v>
      </c>
      <c r="R99" s="8">
        <v>4.2</v>
      </c>
      <c r="V99" s="117"/>
    </row>
    <row r="100">
      <c r="A100" s="8" t="s">
        <v>383</v>
      </c>
      <c r="B100" s="8">
        <v>4.3</v>
      </c>
      <c r="C100" s="8" t="s">
        <v>383</v>
      </c>
      <c r="E100" s="8" t="s">
        <v>384</v>
      </c>
      <c r="F100" s="8">
        <v>4.3</v>
      </c>
      <c r="G100" s="131" t="s">
        <v>385</v>
      </c>
      <c r="H100" s="8">
        <v>4.0</v>
      </c>
      <c r="I100" s="8" t="s">
        <v>222</v>
      </c>
      <c r="J100" s="8">
        <v>4.0</v>
      </c>
      <c r="M100" s="8" t="s">
        <v>386</v>
      </c>
      <c r="N100" s="8">
        <v>4.2</v>
      </c>
      <c r="R100" s="117"/>
      <c r="T100" s="27"/>
    </row>
    <row r="101">
      <c r="A101" s="8" t="s">
        <v>387</v>
      </c>
      <c r="B101" s="8">
        <v>3.8</v>
      </c>
      <c r="C101" s="8" t="s">
        <v>387</v>
      </c>
      <c r="E101" s="8" t="s">
        <v>383</v>
      </c>
      <c r="F101" s="8">
        <v>4.3</v>
      </c>
      <c r="G101" s="131" t="s">
        <v>388</v>
      </c>
      <c r="H101" s="8">
        <v>3.8</v>
      </c>
      <c r="L101" s="117"/>
      <c r="P101" s="27"/>
      <c r="Q101" s="27"/>
    </row>
    <row r="102">
      <c r="A102" s="8" t="s">
        <v>389</v>
      </c>
      <c r="B102" s="8">
        <v>3.5</v>
      </c>
      <c r="C102" s="8" t="s">
        <v>389</v>
      </c>
      <c r="E102" s="8" t="s">
        <v>390</v>
      </c>
      <c r="F102" s="8">
        <v>4.1</v>
      </c>
      <c r="J102" s="117"/>
      <c r="N102" s="27"/>
      <c r="O102" s="27"/>
    </row>
    <row r="103">
      <c r="F103" s="117"/>
      <c r="J103" s="27"/>
      <c r="K103" s="27"/>
    </row>
    <row r="104">
      <c r="A104" s="8" t="s">
        <v>391</v>
      </c>
      <c r="F104" s="117"/>
      <c r="J104" s="27"/>
      <c r="K104" s="27"/>
    </row>
    <row r="105">
      <c r="A105" s="8" t="s">
        <v>392</v>
      </c>
      <c r="F105" s="117"/>
      <c r="J105" s="27"/>
      <c r="K105" s="27"/>
    </row>
    <row r="106">
      <c r="A106" s="8" t="s">
        <v>393</v>
      </c>
      <c r="F106" s="117"/>
      <c r="J106" s="27"/>
      <c r="K106" s="27"/>
    </row>
    <row r="107">
      <c r="A107" s="8" t="s">
        <v>394</v>
      </c>
      <c r="F107" s="117"/>
      <c r="J107" s="27"/>
      <c r="K107" s="27"/>
    </row>
    <row r="108">
      <c r="F108" s="117"/>
      <c r="J108" s="27"/>
      <c r="K108" s="27"/>
    </row>
    <row r="109">
      <c r="A109" s="8" t="s">
        <v>395</v>
      </c>
      <c r="C109" s="8" t="s">
        <v>396</v>
      </c>
      <c r="F109" s="117"/>
      <c r="J109" s="27"/>
      <c r="K109" s="27"/>
    </row>
    <row r="110">
      <c r="A110" s="8" t="s">
        <v>397</v>
      </c>
      <c r="F110" s="117"/>
      <c r="J110" s="27"/>
      <c r="K110" s="27"/>
    </row>
    <row r="111">
      <c r="A111" s="8" t="s">
        <v>398</v>
      </c>
      <c r="F111" s="117"/>
      <c r="J111" s="27"/>
      <c r="K111" s="27"/>
    </row>
    <row r="112">
      <c r="A112" s="8" t="s">
        <v>399</v>
      </c>
      <c r="F112" s="117"/>
      <c r="J112" s="27"/>
      <c r="K112" s="27"/>
    </row>
    <row r="113">
      <c r="A113" s="8" t="s">
        <v>400</v>
      </c>
      <c r="F113" s="117"/>
      <c r="J113" s="27"/>
      <c r="K113" s="27"/>
    </row>
    <row r="114">
      <c r="F114" s="117"/>
      <c r="J114" s="27"/>
      <c r="K114" s="27"/>
    </row>
    <row r="115">
      <c r="F115" s="117"/>
      <c r="J115" s="27"/>
      <c r="K115" s="27"/>
    </row>
    <row r="116">
      <c r="F116" s="117"/>
      <c r="J116" s="27"/>
      <c r="K116" s="27"/>
    </row>
    <row r="117">
      <c r="F117" s="117"/>
      <c r="J117" s="27"/>
      <c r="K117" s="27"/>
    </row>
    <row r="118">
      <c r="F118" s="117"/>
      <c r="J118" s="27"/>
      <c r="K118" s="27"/>
    </row>
    <row r="119">
      <c r="F119" s="117"/>
      <c r="J119" s="27"/>
      <c r="K119" s="27"/>
    </row>
    <row r="120">
      <c r="F120" s="117"/>
      <c r="J120" s="27"/>
      <c r="K120" s="27"/>
    </row>
    <row r="121">
      <c r="F121" s="117"/>
      <c r="J121" s="27"/>
      <c r="K121" s="27"/>
    </row>
    <row r="122">
      <c r="F122" s="117"/>
      <c r="J122" s="27"/>
      <c r="K122" s="27"/>
    </row>
    <row r="123">
      <c r="F123" s="117"/>
      <c r="J123" s="27"/>
      <c r="K123" s="27"/>
    </row>
    <row r="124">
      <c r="A124" s="8" t="s">
        <v>401</v>
      </c>
      <c r="B124" s="133" t="s">
        <v>402</v>
      </c>
      <c r="F124" s="117"/>
      <c r="J124" s="27"/>
      <c r="K124" s="27"/>
    </row>
    <row r="125">
      <c r="A125" s="8" t="s">
        <v>403</v>
      </c>
      <c r="B125" s="8" t="s">
        <v>404</v>
      </c>
      <c r="F125" s="117"/>
      <c r="J125" s="27"/>
      <c r="K125" s="27"/>
    </row>
    <row r="126">
      <c r="A126" s="8" t="s">
        <v>405</v>
      </c>
      <c r="B126" s="8" t="s">
        <v>406</v>
      </c>
      <c r="F126" s="117"/>
      <c r="J126" s="27"/>
      <c r="K126" s="27"/>
    </row>
    <row r="127">
      <c r="A127" s="8" t="s">
        <v>407</v>
      </c>
      <c r="B127" s="8" t="s">
        <v>408</v>
      </c>
      <c r="F127" s="117"/>
      <c r="J127" s="27"/>
      <c r="K127" s="27"/>
    </row>
    <row r="128">
      <c r="F128" s="117"/>
      <c r="J128" s="27"/>
      <c r="K128" s="27"/>
    </row>
    <row r="129">
      <c r="F129" s="117"/>
      <c r="J129" s="27"/>
      <c r="K129" s="27"/>
    </row>
    <row r="130">
      <c r="F130" s="117"/>
      <c r="J130" s="27"/>
      <c r="K130" s="27"/>
    </row>
    <row r="131">
      <c r="F131" s="117"/>
      <c r="J131" s="27"/>
      <c r="K131" s="27"/>
    </row>
    <row r="132">
      <c r="F132" s="117"/>
      <c r="J132" s="27"/>
      <c r="K132" s="27"/>
    </row>
    <row r="133">
      <c r="F133" s="117"/>
      <c r="J133" s="27"/>
      <c r="K133" s="27"/>
    </row>
    <row r="134">
      <c r="F134" s="117"/>
      <c r="J134" s="27"/>
      <c r="K134" s="27"/>
    </row>
    <row r="135">
      <c r="F135" s="117"/>
      <c r="J135" s="27"/>
      <c r="K135" s="27"/>
    </row>
    <row r="136">
      <c r="F136" s="117"/>
      <c r="J136" s="27"/>
      <c r="K136" s="27"/>
    </row>
    <row r="137">
      <c r="F137" s="117"/>
      <c r="J137" s="27"/>
      <c r="K137" s="27"/>
    </row>
    <row r="138">
      <c r="F138" s="117"/>
      <c r="J138" s="27"/>
      <c r="K138" s="27"/>
    </row>
    <row r="139">
      <c r="F139" s="117"/>
      <c r="J139" s="27"/>
      <c r="K139" s="27"/>
    </row>
    <row r="140">
      <c r="F140" s="117"/>
      <c r="J140" s="27"/>
      <c r="K140" s="27"/>
    </row>
    <row r="141">
      <c r="F141" s="117"/>
      <c r="J141" s="27"/>
      <c r="K141" s="27"/>
    </row>
    <row r="142">
      <c r="F142" s="117"/>
      <c r="J142" s="27"/>
      <c r="K142" s="27"/>
    </row>
    <row r="143">
      <c r="F143" s="117"/>
      <c r="J143" s="27"/>
      <c r="K143" s="27"/>
    </row>
    <row r="144">
      <c r="F144" s="117"/>
      <c r="J144" s="27"/>
      <c r="K144" s="27"/>
    </row>
    <row r="145">
      <c r="F145" s="117"/>
      <c r="J145" s="27"/>
      <c r="K145" s="27"/>
    </row>
    <row r="146">
      <c r="F146" s="117"/>
      <c r="J146" s="27"/>
      <c r="K146" s="27"/>
    </row>
    <row r="147">
      <c r="F147" s="117"/>
      <c r="J147" s="27"/>
      <c r="K147" s="27"/>
    </row>
    <row r="148">
      <c r="F148" s="117"/>
      <c r="J148" s="27"/>
      <c r="K148" s="27"/>
    </row>
    <row r="149">
      <c r="F149" s="117"/>
      <c r="J149" s="27"/>
      <c r="K149" s="27"/>
    </row>
    <row r="150">
      <c r="F150" s="117"/>
      <c r="J150" s="27"/>
      <c r="K150" s="27"/>
    </row>
    <row r="151">
      <c r="F151" s="117"/>
      <c r="J151" s="27"/>
      <c r="K151" s="27"/>
    </row>
    <row r="152">
      <c r="F152" s="117"/>
      <c r="J152" s="27"/>
      <c r="K152" s="27"/>
    </row>
    <row r="153">
      <c r="F153" s="117"/>
      <c r="J153" s="27"/>
      <c r="K153" s="27"/>
    </row>
    <row r="154">
      <c r="F154" s="117"/>
      <c r="J154" s="27"/>
      <c r="K154" s="27"/>
    </row>
    <row r="155">
      <c r="F155" s="117"/>
      <c r="J155" s="27"/>
      <c r="K155" s="27"/>
    </row>
    <row r="156">
      <c r="F156" s="117"/>
      <c r="J156" s="27"/>
      <c r="K156" s="27"/>
    </row>
    <row r="157">
      <c r="F157" s="117"/>
      <c r="J157" s="27"/>
      <c r="K157" s="27"/>
    </row>
    <row r="158">
      <c r="F158" s="117"/>
      <c r="J158" s="27"/>
      <c r="K158" s="27"/>
    </row>
    <row r="159">
      <c r="F159" s="117"/>
      <c r="J159" s="27"/>
      <c r="K159" s="27"/>
    </row>
    <row r="160">
      <c r="F160" s="117"/>
      <c r="J160" s="27"/>
      <c r="K160" s="27"/>
    </row>
    <row r="161">
      <c r="F161" s="117"/>
      <c r="J161" s="27"/>
      <c r="K161" s="27"/>
    </row>
    <row r="162">
      <c r="F162" s="117"/>
      <c r="J162" s="27"/>
      <c r="K162" s="27"/>
    </row>
    <row r="163">
      <c r="F163" s="117"/>
      <c r="J163" s="27"/>
      <c r="K163" s="27"/>
    </row>
    <row r="164">
      <c r="F164" s="117"/>
      <c r="J164" s="27"/>
      <c r="K164" s="27"/>
    </row>
    <row r="165">
      <c r="F165" s="117"/>
      <c r="J165" s="27"/>
      <c r="K165" s="27"/>
    </row>
    <row r="166">
      <c r="F166" s="117"/>
      <c r="J166" s="27"/>
      <c r="K166" s="27"/>
    </row>
    <row r="167">
      <c r="F167" s="117"/>
      <c r="J167" s="27"/>
      <c r="K167" s="27"/>
    </row>
    <row r="168">
      <c r="F168" s="117"/>
      <c r="J168" s="27"/>
      <c r="K168" s="27"/>
    </row>
    <row r="169">
      <c r="F169" s="117"/>
      <c r="J169" s="27"/>
      <c r="K169" s="27"/>
    </row>
    <row r="170">
      <c r="F170" s="117"/>
      <c r="J170" s="27"/>
      <c r="K170" s="27"/>
    </row>
    <row r="171">
      <c r="F171" s="117"/>
      <c r="J171" s="27"/>
      <c r="K171" s="27"/>
    </row>
    <row r="172">
      <c r="F172" s="117"/>
      <c r="J172" s="27"/>
      <c r="K172" s="27"/>
    </row>
    <row r="173">
      <c r="F173" s="117"/>
      <c r="J173" s="27"/>
      <c r="K173" s="27"/>
    </row>
    <row r="174">
      <c r="F174" s="117"/>
      <c r="J174" s="27"/>
      <c r="K174" s="27"/>
    </row>
    <row r="175">
      <c r="F175" s="117"/>
      <c r="J175" s="27"/>
      <c r="K175" s="27"/>
    </row>
    <row r="176">
      <c r="F176" s="117"/>
      <c r="J176" s="27"/>
      <c r="K176" s="27"/>
    </row>
    <row r="177">
      <c r="F177" s="117"/>
      <c r="J177" s="27"/>
      <c r="K177" s="27"/>
    </row>
    <row r="178">
      <c r="F178" s="117"/>
      <c r="J178" s="27"/>
      <c r="K178" s="27"/>
    </row>
    <row r="179">
      <c r="F179" s="117"/>
      <c r="J179" s="27"/>
      <c r="K179" s="27"/>
    </row>
    <row r="180">
      <c r="F180" s="117"/>
      <c r="J180" s="27"/>
      <c r="K180" s="27"/>
    </row>
    <row r="181">
      <c r="F181" s="117"/>
      <c r="J181" s="27"/>
      <c r="K181" s="27"/>
    </row>
    <row r="182">
      <c r="F182" s="117"/>
      <c r="J182" s="27"/>
      <c r="K182" s="27"/>
    </row>
    <row r="183">
      <c r="F183" s="117"/>
      <c r="J183" s="27"/>
      <c r="K183" s="27"/>
    </row>
    <row r="184">
      <c r="F184" s="117"/>
      <c r="J184" s="27"/>
      <c r="K184" s="27"/>
    </row>
    <row r="185">
      <c r="F185" s="117"/>
      <c r="J185" s="27"/>
      <c r="K185" s="27"/>
    </row>
    <row r="186">
      <c r="F186" s="117"/>
      <c r="J186" s="27"/>
      <c r="K186" s="27"/>
    </row>
    <row r="187">
      <c r="F187" s="117"/>
      <c r="J187" s="27"/>
      <c r="K187" s="27"/>
    </row>
    <row r="188">
      <c r="F188" s="117"/>
      <c r="J188" s="27"/>
      <c r="K188" s="27"/>
    </row>
    <row r="189">
      <c r="F189" s="117"/>
      <c r="J189" s="27"/>
      <c r="K189" s="27"/>
    </row>
    <row r="190">
      <c r="F190" s="117"/>
      <c r="J190" s="27"/>
      <c r="K190" s="27"/>
    </row>
    <row r="191">
      <c r="F191" s="117"/>
      <c r="J191" s="27"/>
      <c r="K191" s="27"/>
    </row>
    <row r="192">
      <c r="F192" s="117"/>
      <c r="J192" s="27"/>
      <c r="K192" s="27"/>
    </row>
    <row r="193">
      <c r="F193" s="117"/>
      <c r="J193" s="27"/>
      <c r="K193" s="27"/>
    </row>
    <row r="194">
      <c r="F194" s="117"/>
      <c r="J194" s="27"/>
      <c r="K194" s="27"/>
    </row>
    <row r="195">
      <c r="F195" s="117"/>
      <c r="J195" s="27"/>
      <c r="K195" s="27"/>
    </row>
    <row r="196">
      <c r="F196" s="117"/>
      <c r="J196" s="27"/>
      <c r="K196" s="27"/>
    </row>
    <row r="197">
      <c r="F197" s="117"/>
      <c r="J197" s="27"/>
      <c r="K197" s="27"/>
    </row>
    <row r="198">
      <c r="F198" s="117"/>
      <c r="J198" s="27"/>
      <c r="K198" s="27"/>
    </row>
    <row r="199">
      <c r="F199" s="117"/>
      <c r="J199" s="27"/>
      <c r="K199" s="27"/>
    </row>
    <row r="200">
      <c r="F200" s="117"/>
      <c r="J200" s="27"/>
      <c r="K200" s="27"/>
    </row>
    <row r="201">
      <c r="F201" s="117"/>
      <c r="J201" s="27"/>
      <c r="K201" s="27"/>
    </row>
    <row r="202">
      <c r="F202" s="117"/>
      <c r="J202" s="27"/>
      <c r="K202" s="27"/>
    </row>
    <row r="203">
      <c r="F203" s="117"/>
      <c r="J203" s="27"/>
      <c r="K203" s="27"/>
    </row>
    <row r="204">
      <c r="F204" s="117"/>
      <c r="J204" s="27"/>
      <c r="K204" s="27"/>
    </row>
    <row r="205">
      <c r="F205" s="117"/>
      <c r="J205" s="27"/>
      <c r="K205" s="27"/>
    </row>
    <row r="206">
      <c r="F206" s="117"/>
      <c r="J206" s="27"/>
      <c r="K206" s="27"/>
    </row>
    <row r="207">
      <c r="F207" s="117"/>
      <c r="J207" s="27"/>
      <c r="K207" s="27"/>
    </row>
    <row r="208">
      <c r="F208" s="117"/>
      <c r="J208" s="27"/>
      <c r="K208" s="27"/>
    </row>
    <row r="209">
      <c r="F209" s="117"/>
      <c r="J209" s="27"/>
      <c r="K209" s="27"/>
    </row>
    <row r="210">
      <c r="F210" s="117"/>
      <c r="J210" s="27"/>
      <c r="K210" s="27"/>
    </row>
    <row r="211">
      <c r="F211" s="117"/>
      <c r="J211" s="27"/>
      <c r="K211" s="27"/>
    </row>
    <row r="212">
      <c r="F212" s="117"/>
      <c r="J212" s="27"/>
      <c r="K212" s="27"/>
    </row>
    <row r="213">
      <c r="F213" s="117"/>
      <c r="J213" s="27"/>
      <c r="K213" s="27"/>
    </row>
    <row r="214">
      <c r="F214" s="117"/>
      <c r="J214" s="27"/>
      <c r="K214" s="27"/>
    </row>
    <row r="215">
      <c r="F215" s="117"/>
      <c r="J215" s="27"/>
      <c r="K215" s="27"/>
    </row>
    <row r="216">
      <c r="F216" s="117"/>
      <c r="J216" s="27"/>
      <c r="K216" s="27"/>
    </row>
    <row r="217">
      <c r="F217" s="117"/>
      <c r="J217" s="27"/>
      <c r="K217" s="27"/>
    </row>
    <row r="218">
      <c r="F218" s="117"/>
      <c r="J218" s="27"/>
      <c r="K218" s="27"/>
    </row>
    <row r="219">
      <c r="F219" s="117"/>
      <c r="J219" s="27"/>
      <c r="K219" s="27"/>
    </row>
    <row r="220">
      <c r="F220" s="117"/>
      <c r="J220" s="27"/>
      <c r="K220" s="27"/>
    </row>
    <row r="221">
      <c r="F221" s="117"/>
      <c r="J221" s="27"/>
      <c r="K221" s="27"/>
    </row>
    <row r="222">
      <c r="F222" s="117"/>
      <c r="J222" s="27"/>
      <c r="K222" s="27"/>
    </row>
    <row r="223">
      <c r="F223" s="117"/>
      <c r="J223" s="27"/>
      <c r="K223" s="27"/>
    </row>
    <row r="224">
      <c r="F224" s="117"/>
      <c r="J224" s="27"/>
      <c r="K224" s="27"/>
    </row>
    <row r="225">
      <c r="F225" s="117"/>
      <c r="J225" s="27"/>
      <c r="K225" s="27"/>
    </row>
    <row r="226">
      <c r="F226" s="117"/>
      <c r="J226" s="27"/>
      <c r="K226" s="27"/>
    </row>
    <row r="227">
      <c r="F227" s="117"/>
      <c r="J227" s="27"/>
      <c r="K227" s="27"/>
    </row>
    <row r="228">
      <c r="F228" s="117"/>
      <c r="J228" s="27"/>
      <c r="K228" s="27"/>
    </row>
    <row r="229">
      <c r="F229" s="117"/>
      <c r="J229" s="27"/>
      <c r="K229" s="27"/>
    </row>
    <row r="230">
      <c r="F230" s="117"/>
      <c r="J230" s="27"/>
      <c r="K230" s="27"/>
    </row>
    <row r="231">
      <c r="F231" s="117"/>
      <c r="J231" s="27"/>
      <c r="K231" s="27"/>
    </row>
    <row r="232">
      <c r="F232" s="117"/>
      <c r="J232" s="27"/>
      <c r="K232" s="27"/>
    </row>
    <row r="233">
      <c r="F233" s="117"/>
      <c r="J233" s="27"/>
      <c r="K233" s="27"/>
    </row>
    <row r="234">
      <c r="F234" s="117"/>
      <c r="J234" s="27"/>
      <c r="K234" s="27"/>
    </row>
    <row r="235">
      <c r="F235" s="117"/>
      <c r="J235" s="27"/>
      <c r="K235" s="27"/>
    </row>
    <row r="236">
      <c r="F236" s="117"/>
      <c r="J236" s="27"/>
      <c r="K236" s="27"/>
    </row>
    <row r="237">
      <c r="F237" s="117"/>
      <c r="J237" s="27"/>
      <c r="K237" s="27"/>
    </row>
    <row r="238">
      <c r="F238" s="117"/>
      <c r="J238" s="27"/>
      <c r="K238" s="27"/>
    </row>
    <row r="239">
      <c r="F239" s="117"/>
      <c r="J239" s="27"/>
      <c r="K239" s="27"/>
    </row>
    <row r="240">
      <c r="F240" s="117"/>
      <c r="J240" s="27"/>
      <c r="K240" s="27"/>
    </row>
    <row r="241">
      <c r="F241" s="117"/>
      <c r="J241" s="27"/>
      <c r="K241" s="27"/>
    </row>
    <row r="242">
      <c r="F242" s="117"/>
      <c r="J242" s="27"/>
      <c r="K242" s="27"/>
    </row>
    <row r="243">
      <c r="F243" s="117"/>
      <c r="J243" s="27"/>
      <c r="K243" s="27"/>
    </row>
    <row r="244">
      <c r="F244" s="117"/>
      <c r="J244" s="27"/>
      <c r="K244" s="27"/>
    </row>
    <row r="245">
      <c r="F245" s="117"/>
      <c r="J245" s="27"/>
      <c r="K245" s="27"/>
    </row>
    <row r="246">
      <c r="F246" s="117"/>
      <c r="J246" s="27"/>
      <c r="K246" s="27"/>
    </row>
    <row r="247">
      <c r="F247" s="117"/>
      <c r="J247" s="27"/>
      <c r="K247" s="27"/>
    </row>
    <row r="248">
      <c r="F248" s="117"/>
      <c r="J248" s="27"/>
      <c r="K248" s="27"/>
    </row>
    <row r="249">
      <c r="F249" s="117"/>
      <c r="J249" s="27"/>
      <c r="K249" s="27"/>
    </row>
    <row r="250">
      <c r="F250" s="117"/>
      <c r="J250" s="27"/>
      <c r="K250" s="27"/>
    </row>
    <row r="251">
      <c r="F251" s="117"/>
      <c r="J251" s="27"/>
      <c r="K251" s="27"/>
    </row>
    <row r="252">
      <c r="F252" s="117"/>
      <c r="J252" s="27"/>
      <c r="K252" s="27"/>
    </row>
    <row r="253">
      <c r="F253" s="117"/>
      <c r="J253" s="27"/>
      <c r="K253" s="27"/>
    </row>
    <row r="254">
      <c r="F254" s="117"/>
      <c r="J254" s="27"/>
      <c r="K254" s="27"/>
    </row>
    <row r="255">
      <c r="F255" s="117"/>
      <c r="J255" s="27"/>
      <c r="K255" s="27"/>
    </row>
    <row r="256">
      <c r="F256" s="117"/>
      <c r="J256" s="27"/>
      <c r="K256" s="27"/>
    </row>
    <row r="257">
      <c r="F257" s="117"/>
      <c r="J257" s="27"/>
      <c r="K257" s="27"/>
    </row>
    <row r="258">
      <c r="F258" s="117"/>
      <c r="J258" s="27"/>
      <c r="K258" s="27"/>
    </row>
    <row r="259">
      <c r="F259" s="117"/>
      <c r="J259" s="27"/>
      <c r="K259" s="27"/>
    </row>
    <row r="260">
      <c r="F260" s="117"/>
      <c r="J260" s="27"/>
      <c r="K260" s="27"/>
    </row>
    <row r="261">
      <c r="F261" s="117"/>
      <c r="J261" s="27"/>
      <c r="K261" s="27"/>
    </row>
    <row r="262">
      <c r="F262" s="117"/>
      <c r="J262" s="27"/>
      <c r="K262" s="27"/>
    </row>
    <row r="263">
      <c r="F263" s="117"/>
      <c r="J263" s="27"/>
      <c r="K263" s="27"/>
    </row>
    <row r="264">
      <c r="F264" s="117"/>
      <c r="J264" s="27"/>
      <c r="K264" s="27"/>
    </row>
    <row r="265">
      <c r="F265" s="117"/>
      <c r="J265" s="27"/>
      <c r="K265" s="27"/>
    </row>
    <row r="266">
      <c r="F266" s="117"/>
      <c r="J266" s="27"/>
      <c r="K266" s="27"/>
    </row>
    <row r="267">
      <c r="F267" s="117"/>
      <c r="J267" s="27"/>
      <c r="K267" s="27"/>
    </row>
    <row r="268">
      <c r="F268" s="117"/>
      <c r="J268" s="27"/>
      <c r="K268" s="27"/>
    </row>
    <row r="269">
      <c r="F269" s="117"/>
      <c r="J269" s="27"/>
      <c r="K269" s="27"/>
    </row>
    <row r="270">
      <c r="F270" s="117"/>
      <c r="J270" s="27"/>
      <c r="K270" s="27"/>
    </row>
    <row r="271">
      <c r="F271" s="117"/>
      <c r="J271" s="27"/>
      <c r="K271" s="27"/>
    </row>
    <row r="272">
      <c r="F272" s="117"/>
      <c r="J272" s="27"/>
      <c r="K272" s="27"/>
    </row>
    <row r="273">
      <c r="F273" s="117"/>
      <c r="J273" s="27"/>
      <c r="K273" s="27"/>
    </row>
    <row r="274">
      <c r="F274" s="117"/>
      <c r="J274" s="27"/>
      <c r="K274" s="27"/>
    </row>
    <row r="275">
      <c r="F275" s="117"/>
      <c r="J275" s="27"/>
      <c r="K275" s="27"/>
    </row>
    <row r="276">
      <c r="F276" s="117"/>
      <c r="J276" s="27"/>
      <c r="K276" s="27"/>
    </row>
    <row r="277">
      <c r="F277" s="117"/>
      <c r="J277" s="27"/>
      <c r="K277" s="27"/>
    </row>
    <row r="278">
      <c r="F278" s="117"/>
      <c r="J278" s="27"/>
      <c r="K278" s="27"/>
    </row>
    <row r="279">
      <c r="F279" s="117"/>
      <c r="J279" s="27"/>
      <c r="K279" s="27"/>
    </row>
    <row r="280">
      <c r="F280" s="117"/>
      <c r="J280" s="27"/>
      <c r="K280" s="27"/>
    </row>
    <row r="281">
      <c r="F281" s="117"/>
      <c r="J281" s="27"/>
      <c r="K281" s="27"/>
    </row>
    <row r="282">
      <c r="F282" s="117"/>
      <c r="J282" s="27"/>
      <c r="K282" s="27"/>
    </row>
    <row r="283">
      <c r="F283" s="117"/>
      <c r="J283" s="27"/>
      <c r="K283" s="27"/>
    </row>
    <row r="284">
      <c r="F284" s="117"/>
      <c r="J284" s="27"/>
      <c r="K284" s="27"/>
    </row>
    <row r="285">
      <c r="F285" s="117"/>
      <c r="J285" s="27"/>
      <c r="K285" s="27"/>
    </row>
    <row r="286">
      <c r="F286" s="117"/>
      <c r="J286" s="27"/>
      <c r="K286" s="27"/>
    </row>
    <row r="287">
      <c r="F287" s="117"/>
      <c r="J287" s="27"/>
      <c r="K287" s="27"/>
    </row>
    <row r="288">
      <c r="F288" s="117"/>
      <c r="J288" s="27"/>
      <c r="K288" s="27"/>
    </row>
    <row r="289">
      <c r="F289" s="117"/>
      <c r="J289" s="27"/>
      <c r="K289" s="27"/>
    </row>
    <row r="290">
      <c r="F290" s="117"/>
      <c r="J290" s="27"/>
      <c r="K290" s="27"/>
    </row>
    <row r="291">
      <c r="F291" s="117"/>
      <c r="J291" s="27"/>
      <c r="K291" s="27"/>
    </row>
    <row r="292">
      <c r="F292" s="117"/>
      <c r="J292" s="27"/>
      <c r="K292" s="27"/>
    </row>
    <row r="293">
      <c r="F293" s="117"/>
      <c r="J293" s="27"/>
      <c r="K293" s="27"/>
    </row>
    <row r="294">
      <c r="F294" s="117"/>
      <c r="J294" s="27"/>
      <c r="K294" s="27"/>
    </row>
    <row r="295">
      <c r="F295" s="117"/>
      <c r="J295" s="27"/>
      <c r="K295" s="27"/>
    </row>
    <row r="296">
      <c r="F296" s="117"/>
      <c r="J296" s="27"/>
      <c r="K296" s="27"/>
    </row>
    <row r="297">
      <c r="F297" s="117"/>
      <c r="J297" s="27"/>
      <c r="K297" s="27"/>
    </row>
    <row r="298">
      <c r="F298" s="117"/>
      <c r="J298" s="27"/>
      <c r="K298" s="27"/>
    </row>
    <row r="299">
      <c r="F299" s="117"/>
      <c r="J299" s="27"/>
      <c r="K299" s="27"/>
    </row>
    <row r="300">
      <c r="F300" s="117"/>
      <c r="J300" s="27"/>
      <c r="K300" s="27"/>
    </row>
    <row r="301">
      <c r="F301" s="117"/>
      <c r="J301" s="27"/>
      <c r="K301" s="27"/>
    </row>
    <row r="302">
      <c r="F302" s="117"/>
      <c r="J302" s="27"/>
      <c r="K302" s="27"/>
    </row>
    <row r="303">
      <c r="F303" s="117"/>
      <c r="J303" s="27"/>
      <c r="K303" s="27"/>
    </row>
    <row r="304">
      <c r="F304" s="117"/>
      <c r="J304" s="27"/>
      <c r="K304" s="27"/>
    </row>
    <row r="305">
      <c r="F305" s="117"/>
      <c r="J305" s="27"/>
      <c r="K305" s="27"/>
    </row>
    <row r="306">
      <c r="F306" s="117"/>
      <c r="J306" s="27"/>
      <c r="K306" s="27"/>
    </row>
    <row r="307">
      <c r="F307" s="117"/>
      <c r="J307" s="27"/>
      <c r="K307" s="27"/>
    </row>
    <row r="308">
      <c r="F308" s="117"/>
      <c r="J308" s="27"/>
      <c r="K308" s="27"/>
    </row>
    <row r="309">
      <c r="F309" s="117"/>
      <c r="J309" s="27"/>
      <c r="K309" s="27"/>
    </row>
    <row r="310">
      <c r="F310" s="117"/>
      <c r="J310" s="27"/>
      <c r="K310" s="27"/>
    </row>
    <row r="311">
      <c r="F311" s="117"/>
      <c r="J311" s="27"/>
      <c r="K311" s="27"/>
    </row>
    <row r="312">
      <c r="F312" s="117"/>
      <c r="J312" s="27"/>
      <c r="K312" s="27"/>
    </row>
    <row r="313">
      <c r="F313" s="117"/>
      <c r="J313" s="27"/>
      <c r="K313" s="27"/>
    </row>
    <row r="314">
      <c r="F314" s="117"/>
      <c r="J314" s="27"/>
      <c r="K314" s="27"/>
    </row>
    <row r="315">
      <c r="F315" s="117"/>
      <c r="J315" s="27"/>
      <c r="K315" s="27"/>
    </row>
    <row r="316">
      <c r="F316" s="117"/>
      <c r="J316" s="27"/>
      <c r="K316" s="27"/>
    </row>
    <row r="317">
      <c r="F317" s="117"/>
      <c r="J317" s="27"/>
      <c r="K317" s="27"/>
    </row>
    <row r="318">
      <c r="F318" s="117"/>
      <c r="J318" s="27"/>
      <c r="K318" s="27"/>
    </row>
    <row r="319">
      <c r="F319" s="117"/>
      <c r="J319" s="27"/>
      <c r="K319" s="27"/>
    </row>
    <row r="320">
      <c r="F320" s="117"/>
      <c r="J320" s="27"/>
      <c r="K320" s="27"/>
    </row>
    <row r="321">
      <c r="F321" s="117"/>
      <c r="J321" s="27"/>
      <c r="K321" s="27"/>
    </row>
    <row r="322">
      <c r="F322" s="117"/>
      <c r="J322" s="27"/>
      <c r="K322" s="27"/>
    </row>
    <row r="323">
      <c r="F323" s="117"/>
      <c r="J323" s="27"/>
      <c r="K323" s="27"/>
    </row>
    <row r="324">
      <c r="F324" s="117"/>
      <c r="J324" s="27"/>
      <c r="K324" s="27"/>
    </row>
    <row r="325">
      <c r="F325" s="117"/>
      <c r="J325" s="27"/>
      <c r="K325" s="27"/>
    </row>
    <row r="326">
      <c r="F326" s="117"/>
      <c r="J326" s="27"/>
      <c r="K326" s="27"/>
    </row>
    <row r="327">
      <c r="F327" s="117"/>
      <c r="J327" s="27"/>
      <c r="K327" s="27"/>
    </row>
    <row r="328">
      <c r="F328" s="117"/>
      <c r="J328" s="27"/>
      <c r="K328" s="27"/>
    </row>
    <row r="329">
      <c r="F329" s="117"/>
      <c r="J329" s="27"/>
      <c r="K329" s="27"/>
    </row>
    <row r="330">
      <c r="F330" s="117"/>
      <c r="J330" s="27"/>
      <c r="K330" s="27"/>
    </row>
    <row r="331">
      <c r="F331" s="117"/>
      <c r="J331" s="27"/>
      <c r="K331" s="27"/>
    </row>
    <row r="332">
      <c r="F332" s="117"/>
      <c r="J332" s="27"/>
      <c r="K332" s="27"/>
    </row>
    <row r="333">
      <c r="F333" s="117"/>
      <c r="J333" s="27"/>
      <c r="K333" s="27"/>
    </row>
    <row r="334">
      <c r="F334" s="117"/>
      <c r="J334" s="27"/>
      <c r="K334" s="27"/>
    </row>
    <row r="335">
      <c r="F335" s="117"/>
      <c r="J335" s="27"/>
      <c r="K335" s="27"/>
    </row>
    <row r="336">
      <c r="F336" s="117"/>
      <c r="J336" s="27"/>
      <c r="K336" s="27"/>
    </row>
    <row r="337">
      <c r="F337" s="117"/>
      <c r="J337" s="27"/>
      <c r="K337" s="27"/>
    </row>
    <row r="338">
      <c r="F338" s="117"/>
      <c r="J338" s="27"/>
      <c r="K338" s="27"/>
    </row>
    <row r="339">
      <c r="F339" s="117"/>
      <c r="J339" s="27"/>
      <c r="K339" s="27"/>
    </row>
    <row r="340">
      <c r="F340" s="117"/>
      <c r="J340" s="27"/>
      <c r="K340" s="27"/>
    </row>
    <row r="341">
      <c r="F341" s="117"/>
      <c r="J341" s="27"/>
      <c r="K341" s="27"/>
    </row>
    <row r="342">
      <c r="F342" s="117"/>
      <c r="J342" s="27"/>
      <c r="K342" s="27"/>
    </row>
    <row r="343">
      <c r="F343" s="117"/>
      <c r="J343" s="27"/>
      <c r="K343" s="27"/>
    </row>
    <row r="344">
      <c r="F344" s="117"/>
      <c r="J344" s="27"/>
      <c r="K344" s="27"/>
    </row>
    <row r="345">
      <c r="F345" s="117"/>
      <c r="J345" s="27"/>
      <c r="K345" s="27"/>
    </row>
    <row r="346">
      <c r="F346" s="117"/>
      <c r="J346" s="27"/>
      <c r="K346" s="27"/>
    </row>
    <row r="347">
      <c r="F347" s="117"/>
      <c r="J347" s="27"/>
      <c r="K347" s="27"/>
    </row>
    <row r="348">
      <c r="F348" s="117"/>
      <c r="J348" s="27"/>
      <c r="K348" s="27"/>
    </row>
    <row r="349">
      <c r="F349" s="117"/>
      <c r="J349" s="27"/>
      <c r="K349" s="27"/>
    </row>
    <row r="350">
      <c r="F350" s="117"/>
      <c r="J350" s="27"/>
      <c r="K350" s="27"/>
    </row>
    <row r="351">
      <c r="F351" s="117"/>
      <c r="J351" s="27"/>
      <c r="K351" s="27"/>
    </row>
    <row r="352">
      <c r="F352" s="117"/>
      <c r="J352" s="27"/>
      <c r="K352" s="27"/>
    </row>
    <row r="353">
      <c r="F353" s="117"/>
      <c r="J353" s="27"/>
      <c r="K353" s="27"/>
    </row>
    <row r="354">
      <c r="F354" s="117"/>
      <c r="J354" s="27"/>
      <c r="K354" s="27"/>
    </row>
    <row r="355">
      <c r="F355" s="117"/>
      <c r="J355" s="27"/>
      <c r="K355" s="27"/>
    </row>
    <row r="356">
      <c r="F356" s="117"/>
      <c r="J356" s="27"/>
      <c r="K356" s="27"/>
    </row>
    <row r="357">
      <c r="F357" s="117"/>
      <c r="J357" s="27"/>
      <c r="K357" s="27"/>
    </row>
    <row r="358">
      <c r="F358" s="117"/>
      <c r="J358" s="27"/>
      <c r="K358" s="27"/>
    </row>
    <row r="359">
      <c r="F359" s="117"/>
      <c r="J359" s="27"/>
      <c r="K359" s="27"/>
    </row>
    <row r="360">
      <c r="F360" s="117"/>
      <c r="J360" s="27"/>
      <c r="K360" s="27"/>
    </row>
    <row r="361">
      <c r="F361" s="117"/>
      <c r="J361" s="27"/>
      <c r="K361" s="27"/>
    </row>
    <row r="362">
      <c r="F362" s="117"/>
      <c r="J362" s="27"/>
      <c r="K362" s="27"/>
    </row>
    <row r="363">
      <c r="F363" s="117"/>
      <c r="J363" s="27"/>
      <c r="K363" s="27"/>
    </row>
    <row r="364">
      <c r="F364" s="117"/>
      <c r="J364" s="27"/>
      <c r="K364" s="27"/>
    </row>
    <row r="365">
      <c r="F365" s="117"/>
      <c r="J365" s="27"/>
      <c r="K365" s="27"/>
    </row>
    <row r="366">
      <c r="F366" s="117"/>
      <c r="J366" s="27"/>
      <c r="K366" s="27"/>
    </row>
    <row r="367">
      <c r="F367" s="117"/>
      <c r="J367" s="27"/>
      <c r="K367" s="27"/>
    </row>
    <row r="368">
      <c r="F368" s="117"/>
      <c r="J368" s="27"/>
      <c r="K368" s="27"/>
    </row>
    <row r="369">
      <c r="F369" s="117"/>
      <c r="J369" s="27"/>
      <c r="K369" s="27"/>
    </row>
    <row r="370">
      <c r="F370" s="117"/>
      <c r="J370" s="27"/>
      <c r="K370" s="27"/>
    </row>
    <row r="371">
      <c r="F371" s="117"/>
      <c r="J371" s="27"/>
      <c r="K371" s="27"/>
    </row>
    <row r="372">
      <c r="F372" s="117"/>
      <c r="J372" s="27"/>
      <c r="K372" s="27"/>
    </row>
    <row r="373">
      <c r="F373" s="117"/>
      <c r="J373" s="27"/>
      <c r="K373" s="27"/>
    </row>
    <row r="374">
      <c r="F374" s="117"/>
      <c r="J374" s="27"/>
      <c r="K374" s="27"/>
    </row>
    <row r="375">
      <c r="F375" s="117"/>
      <c r="J375" s="27"/>
      <c r="K375" s="27"/>
    </row>
    <row r="376">
      <c r="F376" s="117"/>
      <c r="J376" s="27"/>
      <c r="K376" s="27"/>
    </row>
    <row r="377">
      <c r="F377" s="117"/>
      <c r="J377" s="27"/>
      <c r="K377" s="27"/>
    </row>
    <row r="378">
      <c r="F378" s="117"/>
      <c r="J378" s="27"/>
      <c r="K378" s="27"/>
    </row>
    <row r="379">
      <c r="F379" s="117"/>
      <c r="J379" s="27"/>
      <c r="K379" s="27"/>
    </row>
    <row r="380">
      <c r="F380" s="117"/>
      <c r="J380" s="27"/>
      <c r="K380" s="27"/>
    </row>
    <row r="381">
      <c r="F381" s="117"/>
      <c r="J381" s="27"/>
      <c r="K381" s="27"/>
    </row>
    <row r="382">
      <c r="F382" s="117"/>
      <c r="J382" s="27"/>
      <c r="K382" s="27"/>
    </row>
    <row r="383">
      <c r="F383" s="117"/>
      <c r="J383" s="27"/>
      <c r="K383" s="27"/>
    </row>
    <row r="384">
      <c r="F384" s="117"/>
      <c r="J384" s="27"/>
      <c r="K384" s="27"/>
    </row>
    <row r="385">
      <c r="F385" s="117"/>
      <c r="J385" s="27"/>
      <c r="K385" s="27"/>
    </row>
    <row r="386">
      <c r="F386" s="117"/>
      <c r="J386" s="27"/>
      <c r="K386" s="27"/>
    </row>
    <row r="387">
      <c r="F387" s="117"/>
      <c r="J387" s="27"/>
      <c r="K387" s="27"/>
    </row>
    <row r="388">
      <c r="F388" s="117"/>
      <c r="J388" s="27"/>
      <c r="K388" s="27"/>
    </row>
    <row r="389">
      <c r="F389" s="117"/>
      <c r="J389" s="27"/>
      <c r="K389" s="27"/>
    </row>
    <row r="390">
      <c r="F390" s="117"/>
      <c r="J390" s="27"/>
      <c r="K390" s="27"/>
    </row>
    <row r="391">
      <c r="F391" s="117"/>
      <c r="J391" s="27"/>
      <c r="K391" s="27"/>
    </row>
    <row r="392">
      <c r="F392" s="117"/>
      <c r="J392" s="27"/>
      <c r="K392" s="27"/>
    </row>
    <row r="393">
      <c r="F393" s="117"/>
      <c r="J393" s="27"/>
      <c r="K393" s="27"/>
    </row>
    <row r="394">
      <c r="F394" s="117"/>
      <c r="J394" s="27"/>
      <c r="K394" s="27"/>
    </row>
    <row r="395">
      <c r="F395" s="117"/>
      <c r="J395" s="27"/>
      <c r="K395" s="27"/>
    </row>
    <row r="396">
      <c r="F396" s="117"/>
      <c r="J396" s="27"/>
      <c r="K396" s="27"/>
    </row>
    <row r="397">
      <c r="F397" s="117"/>
      <c r="J397" s="27"/>
      <c r="K397" s="27"/>
    </row>
    <row r="398">
      <c r="F398" s="117"/>
      <c r="J398" s="27"/>
      <c r="K398" s="27"/>
    </row>
    <row r="399">
      <c r="F399" s="117"/>
      <c r="J399" s="27"/>
      <c r="K399" s="27"/>
    </row>
    <row r="400">
      <c r="F400" s="117"/>
      <c r="J400" s="27"/>
      <c r="K400" s="27"/>
    </row>
    <row r="401">
      <c r="F401" s="117"/>
      <c r="J401" s="27"/>
      <c r="K401" s="27"/>
    </row>
    <row r="402">
      <c r="F402" s="117"/>
      <c r="J402" s="27"/>
      <c r="K402" s="27"/>
    </row>
    <row r="403">
      <c r="F403" s="117"/>
      <c r="J403" s="27"/>
      <c r="K403" s="27"/>
    </row>
    <row r="404">
      <c r="F404" s="117"/>
      <c r="J404" s="27"/>
      <c r="K404" s="27"/>
    </row>
    <row r="405">
      <c r="F405" s="117"/>
      <c r="J405" s="27"/>
      <c r="K405" s="27"/>
    </row>
    <row r="406">
      <c r="F406" s="117"/>
      <c r="J406" s="27"/>
      <c r="K406" s="27"/>
    </row>
    <row r="407">
      <c r="F407" s="117"/>
      <c r="J407" s="27"/>
      <c r="K407" s="27"/>
    </row>
    <row r="408">
      <c r="F408" s="117"/>
      <c r="J408" s="27"/>
      <c r="K408" s="27"/>
    </row>
    <row r="409">
      <c r="F409" s="117"/>
      <c r="J409" s="27"/>
      <c r="K409" s="27"/>
    </row>
    <row r="410">
      <c r="F410" s="117"/>
      <c r="J410" s="27"/>
      <c r="K410" s="27"/>
    </row>
    <row r="411">
      <c r="F411" s="117"/>
      <c r="J411" s="27"/>
      <c r="K411" s="27"/>
    </row>
    <row r="412">
      <c r="F412" s="117"/>
      <c r="J412" s="27"/>
      <c r="K412" s="27"/>
    </row>
    <row r="413">
      <c r="F413" s="117"/>
      <c r="J413" s="27"/>
      <c r="K413" s="27"/>
    </row>
    <row r="414">
      <c r="F414" s="117"/>
      <c r="J414" s="27"/>
      <c r="K414" s="27"/>
    </row>
    <row r="415">
      <c r="F415" s="117"/>
      <c r="J415" s="27"/>
      <c r="K415" s="27"/>
    </row>
    <row r="416">
      <c r="F416" s="117"/>
      <c r="J416" s="27"/>
      <c r="K416" s="27"/>
    </row>
    <row r="417">
      <c r="F417" s="117"/>
      <c r="J417" s="27"/>
      <c r="K417" s="27"/>
    </row>
    <row r="418">
      <c r="F418" s="117"/>
      <c r="J418" s="27"/>
      <c r="K418" s="27"/>
    </row>
    <row r="419">
      <c r="F419" s="117"/>
      <c r="J419" s="27"/>
      <c r="K419" s="27"/>
    </row>
    <row r="420">
      <c r="F420" s="117"/>
      <c r="J420" s="27"/>
      <c r="K420" s="27"/>
    </row>
    <row r="421">
      <c r="F421" s="117"/>
      <c r="J421" s="27"/>
      <c r="K421" s="27"/>
    </row>
    <row r="422">
      <c r="F422" s="117"/>
      <c r="J422" s="27"/>
      <c r="K422" s="27"/>
    </row>
    <row r="423">
      <c r="F423" s="117"/>
      <c r="J423" s="27"/>
      <c r="K423" s="27"/>
    </row>
    <row r="424">
      <c r="F424" s="117"/>
      <c r="J424" s="27"/>
      <c r="K424" s="27"/>
    </row>
    <row r="425">
      <c r="F425" s="117"/>
      <c r="J425" s="27"/>
      <c r="K425" s="27"/>
    </row>
    <row r="426">
      <c r="F426" s="117"/>
      <c r="J426" s="27"/>
      <c r="K426" s="27"/>
    </row>
    <row r="427">
      <c r="F427" s="117"/>
      <c r="J427" s="27"/>
      <c r="K427" s="27"/>
    </row>
    <row r="428">
      <c r="F428" s="117"/>
      <c r="J428" s="27"/>
      <c r="K428" s="27"/>
    </row>
    <row r="429">
      <c r="F429" s="117"/>
      <c r="J429" s="27"/>
      <c r="K429" s="27"/>
    </row>
    <row r="430">
      <c r="F430" s="117"/>
      <c r="J430" s="27"/>
      <c r="K430" s="27"/>
    </row>
    <row r="431">
      <c r="F431" s="117"/>
      <c r="J431" s="27"/>
      <c r="K431" s="27"/>
    </row>
    <row r="432">
      <c r="F432" s="117"/>
      <c r="J432" s="27"/>
      <c r="K432" s="27"/>
    </row>
    <row r="433">
      <c r="F433" s="117"/>
      <c r="J433" s="27"/>
      <c r="K433" s="27"/>
    </row>
    <row r="434">
      <c r="F434" s="117"/>
      <c r="J434" s="27"/>
      <c r="K434" s="27"/>
    </row>
    <row r="435">
      <c r="F435" s="117"/>
      <c r="J435" s="27"/>
      <c r="K435" s="27"/>
    </row>
    <row r="436">
      <c r="F436" s="117"/>
      <c r="J436" s="27"/>
      <c r="K436" s="27"/>
    </row>
    <row r="437">
      <c r="F437" s="117"/>
      <c r="J437" s="27"/>
      <c r="K437" s="27"/>
    </row>
    <row r="438">
      <c r="F438" s="117"/>
      <c r="J438" s="27"/>
      <c r="K438" s="27"/>
    </row>
    <row r="439">
      <c r="F439" s="117"/>
      <c r="J439" s="27"/>
      <c r="K439" s="27"/>
    </row>
    <row r="440">
      <c r="F440" s="117"/>
      <c r="J440" s="27"/>
      <c r="K440" s="27"/>
    </row>
    <row r="441">
      <c r="F441" s="117"/>
      <c r="J441" s="27"/>
      <c r="K441" s="27"/>
    </row>
    <row r="442">
      <c r="F442" s="117"/>
      <c r="J442" s="27"/>
      <c r="K442" s="27"/>
    </row>
    <row r="443">
      <c r="F443" s="117"/>
      <c r="J443" s="27"/>
      <c r="K443" s="27"/>
    </row>
    <row r="444">
      <c r="F444" s="117"/>
      <c r="J444" s="27"/>
      <c r="K444" s="27"/>
    </row>
    <row r="445">
      <c r="F445" s="117"/>
      <c r="J445" s="27"/>
      <c r="K445" s="27"/>
    </row>
    <row r="446">
      <c r="F446" s="117"/>
      <c r="J446" s="27"/>
      <c r="K446" s="27"/>
    </row>
    <row r="447">
      <c r="F447" s="117"/>
      <c r="J447" s="27"/>
      <c r="K447" s="27"/>
    </row>
    <row r="448">
      <c r="F448" s="117"/>
      <c r="J448" s="27"/>
      <c r="K448" s="27"/>
    </row>
    <row r="449">
      <c r="F449" s="117"/>
      <c r="J449" s="27"/>
      <c r="K449" s="27"/>
    </row>
    <row r="450">
      <c r="F450" s="117"/>
      <c r="J450" s="27"/>
      <c r="K450" s="27"/>
    </row>
    <row r="451">
      <c r="F451" s="117"/>
      <c r="J451" s="27"/>
      <c r="K451" s="27"/>
    </row>
    <row r="452">
      <c r="F452" s="117"/>
      <c r="J452" s="27"/>
      <c r="K452" s="27"/>
    </row>
    <row r="453">
      <c r="F453" s="117"/>
      <c r="J453" s="27"/>
      <c r="K453" s="27"/>
    </row>
    <row r="454">
      <c r="F454" s="117"/>
      <c r="J454" s="27"/>
      <c r="K454" s="27"/>
    </row>
    <row r="455">
      <c r="F455" s="117"/>
      <c r="J455" s="27"/>
      <c r="K455" s="27"/>
    </row>
    <row r="456">
      <c r="F456" s="117"/>
      <c r="J456" s="27"/>
      <c r="K456" s="27"/>
    </row>
    <row r="457">
      <c r="F457" s="117"/>
      <c r="J457" s="27"/>
      <c r="K457" s="27"/>
    </row>
    <row r="458">
      <c r="F458" s="117"/>
      <c r="J458" s="27"/>
      <c r="K458" s="27"/>
    </row>
    <row r="459">
      <c r="F459" s="117"/>
      <c r="J459" s="27"/>
      <c r="K459" s="27"/>
    </row>
    <row r="460">
      <c r="F460" s="117"/>
      <c r="J460" s="27"/>
      <c r="K460" s="27"/>
    </row>
    <row r="461">
      <c r="F461" s="117"/>
      <c r="J461" s="27"/>
      <c r="K461" s="27"/>
    </row>
    <row r="462">
      <c r="F462" s="117"/>
      <c r="J462" s="27"/>
      <c r="K462" s="27"/>
    </row>
    <row r="463">
      <c r="F463" s="117"/>
      <c r="J463" s="27"/>
      <c r="K463" s="27"/>
    </row>
    <row r="464">
      <c r="F464" s="117"/>
      <c r="J464" s="27"/>
      <c r="K464" s="27"/>
    </row>
    <row r="465">
      <c r="F465" s="117"/>
      <c r="J465" s="27"/>
      <c r="K465" s="27"/>
    </row>
    <row r="466">
      <c r="F466" s="117"/>
      <c r="J466" s="27"/>
      <c r="K466" s="27"/>
    </row>
    <row r="467">
      <c r="F467" s="117"/>
      <c r="J467" s="27"/>
      <c r="K467" s="27"/>
    </row>
    <row r="468">
      <c r="F468" s="117"/>
      <c r="J468" s="27"/>
      <c r="K468" s="27"/>
    </row>
    <row r="469">
      <c r="F469" s="117"/>
      <c r="J469" s="27"/>
      <c r="K469" s="27"/>
    </row>
    <row r="470">
      <c r="F470" s="117"/>
      <c r="J470" s="27"/>
      <c r="K470" s="27"/>
    </row>
    <row r="471">
      <c r="F471" s="117"/>
      <c r="J471" s="27"/>
      <c r="K471" s="27"/>
    </row>
    <row r="472">
      <c r="F472" s="117"/>
      <c r="J472" s="27"/>
      <c r="K472" s="27"/>
    </row>
    <row r="473">
      <c r="F473" s="117"/>
      <c r="J473" s="27"/>
      <c r="K473" s="27"/>
    </row>
    <row r="474">
      <c r="F474" s="117"/>
      <c r="J474" s="27"/>
      <c r="K474" s="27"/>
    </row>
    <row r="475">
      <c r="F475" s="117"/>
      <c r="J475" s="27"/>
      <c r="K475" s="27"/>
    </row>
    <row r="476">
      <c r="F476" s="117"/>
      <c r="J476" s="27"/>
      <c r="K476" s="27"/>
    </row>
    <row r="477">
      <c r="F477" s="117"/>
      <c r="J477" s="27"/>
      <c r="K477" s="27"/>
    </row>
    <row r="478">
      <c r="F478" s="117"/>
      <c r="J478" s="27"/>
      <c r="K478" s="27"/>
    </row>
    <row r="479">
      <c r="F479" s="117"/>
      <c r="J479" s="27"/>
      <c r="K479" s="27"/>
    </row>
    <row r="480">
      <c r="F480" s="117"/>
      <c r="J480" s="27"/>
      <c r="K480" s="27"/>
    </row>
    <row r="481">
      <c r="F481" s="117"/>
      <c r="J481" s="27"/>
      <c r="K481" s="27"/>
    </row>
    <row r="482">
      <c r="F482" s="117"/>
      <c r="J482" s="27"/>
      <c r="K482" s="27"/>
    </row>
    <row r="483">
      <c r="F483" s="117"/>
      <c r="J483" s="27"/>
      <c r="K483" s="27"/>
    </row>
    <row r="484">
      <c r="F484" s="117"/>
      <c r="J484" s="27"/>
      <c r="K484" s="27"/>
    </row>
    <row r="485">
      <c r="F485" s="117"/>
      <c r="J485" s="27"/>
      <c r="K485" s="27"/>
    </row>
    <row r="486">
      <c r="F486" s="117"/>
      <c r="J486" s="27"/>
      <c r="K486" s="27"/>
    </row>
    <row r="487">
      <c r="F487" s="117"/>
      <c r="J487" s="27"/>
      <c r="K487" s="27"/>
    </row>
    <row r="488">
      <c r="F488" s="117"/>
      <c r="J488" s="27"/>
      <c r="K488" s="27"/>
    </row>
    <row r="489">
      <c r="F489" s="117"/>
      <c r="J489" s="27"/>
      <c r="K489" s="27"/>
    </row>
    <row r="490">
      <c r="F490" s="117"/>
      <c r="J490" s="27"/>
      <c r="K490" s="27"/>
    </row>
    <row r="491">
      <c r="F491" s="117"/>
      <c r="J491" s="27"/>
      <c r="K491" s="27"/>
    </row>
    <row r="492">
      <c r="F492" s="117"/>
      <c r="J492" s="27"/>
      <c r="K492" s="27"/>
    </row>
    <row r="493">
      <c r="F493" s="117"/>
      <c r="J493" s="27"/>
      <c r="K493" s="27"/>
    </row>
    <row r="494">
      <c r="F494" s="117"/>
      <c r="J494" s="27"/>
      <c r="K494" s="27"/>
    </row>
    <row r="495">
      <c r="F495" s="117"/>
      <c r="J495" s="27"/>
      <c r="K495" s="27"/>
    </row>
    <row r="496">
      <c r="F496" s="117"/>
      <c r="J496" s="27"/>
      <c r="K496" s="27"/>
    </row>
    <row r="497">
      <c r="F497" s="117"/>
      <c r="J497" s="27"/>
      <c r="K497" s="27"/>
    </row>
    <row r="498">
      <c r="F498" s="117"/>
      <c r="J498" s="27"/>
      <c r="K498" s="27"/>
    </row>
    <row r="499">
      <c r="F499" s="117"/>
      <c r="J499" s="27"/>
      <c r="K499" s="27"/>
    </row>
    <row r="500">
      <c r="F500" s="117"/>
      <c r="J500" s="27"/>
      <c r="K500" s="27"/>
    </row>
    <row r="501">
      <c r="F501" s="117"/>
      <c r="J501" s="27"/>
      <c r="K501" s="27"/>
    </row>
    <row r="502">
      <c r="F502" s="117"/>
      <c r="J502" s="27"/>
      <c r="K502" s="27"/>
    </row>
    <row r="503">
      <c r="F503" s="117"/>
      <c r="J503" s="27"/>
      <c r="K503" s="27"/>
    </row>
    <row r="504">
      <c r="F504" s="117"/>
      <c r="J504" s="27"/>
      <c r="K504" s="27"/>
    </row>
    <row r="505">
      <c r="F505" s="117"/>
      <c r="J505" s="27"/>
      <c r="K505" s="27"/>
    </row>
    <row r="506">
      <c r="F506" s="117"/>
      <c r="J506" s="27"/>
      <c r="K506" s="27"/>
    </row>
    <row r="507">
      <c r="F507" s="117"/>
      <c r="J507" s="27"/>
      <c r="K507" s="27"/>
    </row>
    <row r="508">
      <c r="F508" s="117"/>
      <c r="J508" s="27"/>
      <c r="K508" s="27"/>
    </row>
    <row r="509">
      <c r="F509" s="117"/>
      <c r="J509" s="27"/>
      <c r="K509" s="27"/>
    </row>
    <row r="510">
      <c r="F510" s="117"/>
      <c r="J510" s="27"/>
      <c r="K510" s="27"/>
    </row>
    <row r="511">
      <c r="F511" s="117"/>
      <c r="J511" s="27"/>
      <c r="K511" s="27"/>
    </row>
    <row r="512">
      <c r="F512" s="117"/>
      <c r="J512" s="27"/>
      <c r="K512" s="27"/>
    </row>
    <row r="513">
      <c r="F513" s="117"/>
      <c r="J513" s="27"/>
      <c r="K513" s="27"/>
    </row>
    <row r="514">
      <c r="F514" s="117"/>
      <c r="J514" s="27"/>
      <c r="K514" s="27"/>
    </row>
    <row r="515">
      <c r="F515" s="117"/>
      <c r="J515" s="27"/>
      <c r="K515" s="27"/>
    </row>
    <row r="516">
      <c r="F516" s="117"/>
      <c r="J516" s="27"/>
      <c r="K516" s="27"/>
    </row>
    <row r="517">
      <c r="F517" s="117"/>
      <c r="J517" s="27"/>
      <c r="K517" s="27"/>
    </row>
    <row r="518">
      <c r="F518" s="117"/>
      <c r="J518" s="27"/>
      <c r="K518" s="27"/>
    </row>
    <row r="519">
      <c r="F519" s="117"/>
      <c r="J519" s="27"/>
      <c r="K519" s="27"/>
    </row>
    <row r="520">
      <c r="F520" s="117"/>
      <c r="J520" s="27"/>
      <c r="K520" s="27"/>
    </row>
    <row r="521">
      <c r="F521" s="117"/>
      <c r="J521" s="27"/>
      <c r="K521" s="27"/>
    </row>
    <row r="522">
      <c r="F522" s="117"/>
      <c r="J522" s="27"/>
      <c r="K522" s="27"/>
    </row>
    <row r="523">
      <c r="F523" s="117"/>
      <c r="J523" s="27"/>
      <c r="K523" s="27"/>
    </row>
    <row r="524">
      <c r="F524" s="117"/>
      <c r="J524" s="27"/>
      <c r="K524" s="27"/>
    </row>
    <row r="525">
      <c r="F525" s="117"/>
      <c r="J525" s="27"/>
      <c r="K525" s="27"/>
    </row>
    <row r="526">
      <c r="F526" s="117"/>
      <c r="J526" s="27"/>
      <c r="K526" s="27"/>
    </row>
    <row r="527">
      <c r="F527" s="117"/>
      <c r="J527" s="27"/>
      <c r="K527" s="27"/>
    </row>
    <row r="528">
      <c r="F528" s="117"/>
      <c r="J528" s="27"/>
      <c r="K528" s="27"/>
    </row>
    <row r="529">
      <c r="F529" s="117"/>
      <c r="J529" s="27"/>
      <c r="K529" s="27"/>
    </row>
    <row r="530">
      <c r="F530" s="117"/>
      <c r="J530" s="27"/>
      <c r="K530" s="27"/>
    </row>
    <row r="531">
      <c r="F531" s="117"/>
      <c r="J531" s="27"/>
      <c r="K531" s="27"/>
    </row>
    <row r="532">
      <c r="F532" s="117"/>
      <c r="J532" s="27"/>
      <c r="K532" s="27"/>
    </row>
    <row r="533">
      <c r="F533" s="117"/>
      <c r="J533" s="27"/>
      <c r="K533" s="27"/>
    </row>
    <row r="534">
      <c r="F534" s="117"/>
      <c r="J534" s="27"/>
      <c r="K534" s="27"/>
    </row>
    <row r="535">
      <c r="F535" s="117"/>
      <c r="J535" s="27"/>
      <c r="K535" s="27"/>
    </row>
    <row r="536">
      <c r="F536" s="117"/>
      <c r="J536" s="27"/>
      <c r="K536" s="27"/>
    </row>
    <row r="537">
      <c r="F537" s="117"/>
      <c r="J537" s="27"/>
      <c r="K537" s="27"/>
    </row>
    <row r="538">
      <c r="F538" s="117"/>
      <c r="J538" s="27"/>
      <c r="K538" s="27"/>
    </row>
    <row r="539">
      <c r="F539" s="117"/>
      <c r="J539" s="27"/>
      <c r="K539" s="27"/>
    </row>
    <row r="540">
      <c r="F540" s="117"/>
      <c r="J540" s="27"/>
      <c r="K540" s="27"/>
    </row>
    <row r="541">
      <c r="F541" s="117"/>
      <c r="J541" s="27"/>
      <c r="K541" s="27"/>
    </row>
    <row r="542">
      <c r="F542" s="117"/>
      <c r="J542" s="27"/>
      <c r="K542" s="27"/>
    </row>
    <row r="543">
      <c r="F543" s="117"/>
      <c r="J543" s="27"/>
      <c r="K543" s="27"/>
    </row>
    <row r="544">
      <c r="F544" s="117"/>
      <c r="J544" s="27"/>
      <c r="K544" s="27"/>
    </row>
    <row r="545">
      <c r="F545" s="117"/>
      <c r="J545" s="27"/>
      <c r="K545" s="27"/>
    </row>
    <row r="546">
      <c r="F546" s="117"/>
      <c r="J546" s="27"/>
      <c r="K546" s="27"/>
    </row>
    <row r="547">
      <c r="F547" s="117"/>
      <c r="J547" s="27"/>
      <c r="K547" s="27"/>
    </row>
    <row r="548">
      <c r="F548" s="117"/>
      <c r="J548" s="27"/>
      <c r="K548" s="27"/>
    </row>
    <row r="549">
      <c r="F549" s="117"/>
      <c r="J549" s="27"/>
      <c r="K549" s="27"/>
    </row>
    <row r="550">
      <c r="F550" s="117"/>
      <c r="J550" s="27"/>
      <c r="K550" s="27"/>
    </row>
    <row r="551">
      <c r="F551" s="117"/>
      <c r="J551" s="27"/>
      <c r="K551" s="27"/>
    </row>
    <row r="552">
      <c r="F552" s="117"/>
      <c r="J552" s="27"/>
      <c r="K552" s="27"/>
    </row>
    <row r="553">
      <c r="F553" s="117"/>
      <c r="J553" s="27"/>
      <c r="K553" s="27"/>
    </row>
    <row r="554">
      <c r="F554" s="117"/>
      <c r="J554" s="27"/>
      <c r="K554" s="27"/>
    </row>
    <row r="555">
      <c r="F555" s="117"/>
      <c r="J555" s="27"/>
      <c r="K555" s="27"/>
    </row>
    <row r="556">
      <c r="F556" s="117"/>
      <c r="J556" s="27"/>
      <c r="K556" s="27"/>
    </row>
    <row r="557">
      <c r="F557" s="117"/>
      <c r="J557" s="27"/>
      <c r="K557" s="27"/>
    </row>
    <row r="558">
      <c r="F558" s="117"/>
      <c r="J558" s="27"/>
      <c r="K558" s="27"/>
    </row>
    <row r="559">
      <c r="F559" s="117"/>
      <c r="J559" s="27"/>
      <c r="K559" s="27"/>
    </row>
    <row r="560">
      <c r="F560" s="117"/>
      <c r="J560" s="27"/>
      <c r="K560" s="27"/>
    </row>
    <row r="561">
      <c r="F561" s="117"/>
      <c r="J561" s="27"/>
      <c r="K561" s="27"/>
    </row>
    <row r="562">
      <c r="F562" s="117"/>
      <c r="J562" s="27"/>
      <c r="K562" s="27"/>
    </row>
    <row r="563">
      <c r="F563" s="117"/>
      <c r="J563" s="27"/>
      <c r="K563" s="27"/>
    </row>
    <row r="564">
      <c r="F564" s="117"/>
      <c r="J564" s="27"/>
      <c r="K564" s="27"/>
    </row>
    <row r="565">
      <c r="F565" s="117"/>
      <c r="J565" s="27"/>
      <c r="K565" s="27"/>
    </row>
    <row r="566">
      <c r="F566" s="117"/>
      <c r="J566" s="27"/>
      <c r="K566" s="27"/>
    </row>
    <row r="567">
      <c r="F567" s="117"/>
      <c r="J567" s="27"/>
      <c r="K567" s="27"/>
    </row>
    <row r="568">
      <c r="F568" s="117"/>
      <c r="J568" s="27"/>
      <c r="K568" s="27"/>
    </row>
    <row r="569">
      <c r="F569" s="117"/>
      <c r="J569" s="27"/>
      <c r="K569" s="27"/>
    </row>
    <row r="570">
      <c r="F570" s="117"/>
      <c r="J570" s="27"/>
      <c r="K570" s="27"/>
    </row>
    <row r="571">
      <c r="F571" s="117"/>
      <c r="J571" s="27"/>
      <c r="K571" s="27"/>
    </row>
    <row r="572">
      <c r="F572" s="117"/>
      <c r="J572" s="27"/>
      <c r="K572" s="27"/>
    </row>
    <row r="573">
      <c r="F573" s="117"/>
      <c r="J573" s="27"/>
      <c r="K573" s="27"/>
    </row>
    <row r="574">
      <c r="F574" s="117"/>
      <c r="J574" s="27"/>
      <c r="K574" s="27"/>
    </row>
    <row r="575">
      <c r="F575" s="117"/>
      <c r="J575" s="27"/>
      <c r="K575" s="27"/>
    </row>
    <row r="576">
      <c r="F576" s="117"/>
      <c r="J576" s="27"/>
      <c r="K576" s="27"/>
    </row>
    <row r="577">
      <c r="F577" s="117"/>
      <c r="J577" s="27"/>
      <c r="K577" s="27"/>
    </row>
    <row r="578">
      <c r="F578" s="117"/>
      <c r="J578" s="27"/>
      <c r="K578" s="27"/>
    </row>
    <row r="579">
      <c r="F579" s="117"/>
      <c r="J579" s="27"/>
      <c r="K579" s="27"/>
    </row>
    <row r="580">
      <c r="F580" s="117"/>
      <c r="J580" s="27"/>
      <c r="K580" s="27"/>
    </row>
    <row r="581">
      <c r="F581" s="117"/>
      <c r="J581" s="27"/>
      <c r="K581" s="27"/>
    </row>
    <row r="582">
      <c r="F582" s="117"/>
      <c r="J582" s="27"/>
      <c r="K582" s="27"/>
    </row>
    <row r="583">
      <c r="F583" s="117"/>
      <c r="J583" s="27"/>
      <c r="K583" s="27"/>
    </row>
    <row r="584">
      <c r="F584" s="117"/>
      <c r="J584" s="27"/>
      <c r="K584" s="27"/>
    </row>
    <row r="585">
      <c r="F585" s="117"/>
      <c r="J585" s="27"/>
      <c r="K585" s="27"/>
    </row>
    <row r="586">
      <c r="F586" s="117"/>
      <c r="J586" s="27"/>
      <c r="K586" s="27"/>
    </row>
    <row r="587">
      <c r="F587" s="117"/>
      <c r="J587" s="27"/>
      <c r="K587" s="27"/>
    </row>
    <row r="588">
      <c r="F588" s="117"/>
      <c r="J588" s="27"/>
      <c r="K588" s="27"/>
    </row>
    <row r="589">
      <c r="F589" s="117"/>
      <c r="J589" s="27"/>
      <c r="K589" s="27"/>
    </row>
    <row r="590">
      <c r="F590" s="117"/>
      <c r="J590" s="27"/>
      <c r="K590" s="27"/>
    </row>
    <row r="591">
      <c r="F591" s="117"/>
      <c r="J591" s="27"/>
      <c r="K591" s="27"/>
    </row>
    <row r="592">
      <c r="F592" s="117"/>
      <c r="J592" s="27"/>
      <c r="K592" s="27"/>
    </row>
    <row r="593">
      <c r="F593" s="117"/>
      <c r="J593" s="27"/>
      <c r="K593" s="27"/>
    </row>
    <row r="594">
      <c r="F594" s="117"/>
      <c r="J594" s="27"/>
      <c r="K594" s="27"/>
    </row>
    <row r="595">
      <c r="F595" s="117"/>
      <c r="J595" s="27"/>
      <c r="K595" s="27"/>
    </row>
    <row r="596">
      <c r="F596" s="117"/>
      <c r="J596" s="27"/>
      <c r="K596" s="27"/>
    </row>
    <row r="597">
      <c r="F597" s="117"/>
      <c r="J597" s="27"/>
      <c r="K597" s="27"/>
    </row>
    <row r="598">
      <c r="F598" s="117"/>
      <c r="J598" s="27"/>
      <c r="K598" s="27"/>
    </row>
    <row r="599">
      <c r="F599" s="117"/>
      <c r="J599" s="27"/>
      <c r="K599" s="27"/>
    </row>
    <row r="600">
      <c r="F600" s="117"/>
      <c r="J600" s="27"/>
      <c r="K600" s="27"/>
    </row>
    <row r="601">
      <c r="F601" s="117"/>
      <c r="J601" s="27"/>
      <c r="K601" s="27"/>
    </row>
    <row r="602">
      <c r="F602" s="117"/>
      <c r="J602" s="27"/>
      <c r="K602" s="27"/>
    </row>
    <row r="603">
      <c r="F603" s="117"/>
      <c r="J603" s="27"/>
      <c r="K603" s="27"/>
    </row>
    <row r="604">
      <c r="F604" s="117"/>
      <c r="J604" s="27"/>
      <c r="K604" s="27"/>
    </row>
    <row r="605">
      <c r="F605" s="117"/>
      <c r="J605" s="27"/>
      <c r="K605" s="27"/>
    </row>
    <row r="606">
      <c r="F606" s="117"/>
      <c r="J606" s="27"/>
      <c r="K606" s="27"/>
    </row>
    <row r="607">
      <c r="F607" s="117"/>
      <c r="J607" s="27"/>
      <c r="K607" s="27"/>
    </row>
    <row r="608">
      <c r="F608" s="117"/>
      <c r="J608" s="27"/>
      <c r="K608" s="27"/>
    </row>
    <row r="609">
      <c r="F609" s="117"/>
      <c r="J609" s="27"/>
      <c r="K609" s="27"/>
    </row>
    <row r="610">
      <c r="F610" s="117"/>
      <c r="J610" s="27"/>
      <c r="K610" s="27"/>
    </row>
    <row r="611">
      <c r="F611" s="117"/>
      <c r="J611" s="27"/>
      <c r="K611" s="27"/>
    </row>
    <row r="612">
      <c r="F612" s="117"/>
      <c r="J612" s="27"/>
      <c r="K612" s="27"/>
    </row>
    <row r="613">
      <c r="F613" s="117"/>
      <c r="J613" s="27"/>
      <c r="K613" s="27"/>
    </row>
    <row r="614">
      <c r="F614" s="117"/>
      <c r="J614" s="27"/>
      <c r="K614" s="27"/>
    </row>
    <row r="615">
      <c r="F615" s="117"/>
      <c r="J615" s="27"/>
      <c r="K615" s="27"/>
    </row>
    <row r="616">
      <c r="F616" s="117"/>
      <c r="J616" s="27"/>
      <c r="K616" s="27"/>
    </row>
    <row r="617">
      <c r="F617" s="117"/>
      <c r="J617" s="27"/>
      <c r="K617" s="27"/>
    </row>
    <row r="618">
      <c r="F618" s="117"/>
      <c r="J618" s="27"/>
      <c r="K618" s="27"/>
    </row>
    <row r="619">
      <c r="F619" s="117"/>
      <c r="J619" s="27"/>
      <c r="K619" s="27"/>
    </row>
    <row r="620">
      <c r="F620" s="117"/>
      <c r="J620" s="27"/>
      <c r="K620" s="27"/>
    </row>
    <row r="621">
      <c r="F621" s="117"/>
      <c r="J621" s="27"/>
      <c r="K621" s="27"/>
    </row>
    <row r="622">
      <c r="F622" s="117"/>
      <c r="J622" s="27"/>
      <c r="K622" s="27"/>
    </row>
    <row r="623">
      <c r="F623" s="117"/>
      <c r="J623" s="27"/>
      <c r="K623" s="27"/>
    </row>
    <row r="624">
      <c r="F624" s="117"/>
      <c r="J624" s="27"/>
      <c r="K624" s="27"/>
    </row>
    <row r="625">
      <c r="F625" s="117"/>
      <c r="J625" s="27"/>
      <c r="K625" s="27"/>
    </row>
    <row r="626">
      <c r="F626" s="117"/>
      <c r="J626" s="27"/>
      <c r="K626" s="27"/>
    </row>
    <row r="627">
      <c r="F627" s="117"/>
      <c r="J627" s="27"/>
      <c r="K627" s="27"/>
    </row>
    <row r="628">
      <c r="F628" s="117"/>
      <c r="J628" s="27"/>
      <c r="K628" s="27"/>
    </row>
    <row r="629">
      <c r="F629" s="117"/>
      <c r="J629" s="27"/>
      <c r="K629" s="27"/>
    </row>
    <row r="630">
      <c r="F630" s="117"/>
      <c r="J630" s="27"/>
      <c r="K630" s="27"/>
    </row>
    <row r="631">
      <c r="F631" s="117"/>
      <c r="J631" s="27"/>
      <c r="K631" s="27"/>
    </row>
    <row r="632">
      <c r="F632" s="117"/>
      <c r="J632" s="27"/>
      <c r="K632" s="27"/>
    </row>
    <row r="633">
      <c r="F633" s="117"/>
      <c r="J633" s="27"/>
      <c r="K633" s="27"/>
    </row>
    <row r="634">
      <c r="F634" s="117"/>
      <c r="J634" s="27"/>
      <c r="K634" s="27"/>
    </row>
    <row r="635">
      <c r="F635" s="117"/>
      <c r="J635" s="27"/>
      <c r="K635" s="27"/>
    </row>
    <row r="636">
      <c r="F636" s="117"/>
      <c r="J636" s="27"/>
      <c r="K636" s="27"/>
    </row>
    <row r="637">
      <c r="F637" s="117"/>
      <c r="J637" s="27"/>
      <c r="K637" s="27"/>
    </row>
    <row r="638">
      <c r="F638" s="117"/>
      <c r="J638" s="27"/>
      <c r="K638" s="27"/>
    </row>
    <row r="639">
      <c r="F639" s="117"/>
      <c r="J639" s="27"/>
      <c r="K639" s="27"/>
    </row>
    <row r="640">
      <c r="F640" s="117"/>
      <c r="J640" s="27"/>
      <c r="K640" s="27"/>
    </row>
    <row r="641">
      <c r="F641" s="117"/>
      <c r="J641" s="27"/>
      <c r="K641" s="27"/>
    </row>
    <row r="642">
      <c r="F642" s="117"/>
      <c r="J642" s="27"/>
      <c r="K642" s="27"/>
    </row>
    <row r="643">
      <c r="F643" s="117"/>
      <c r="J643" s="27"/>
      <c r="K643" s="27"/>
    </row>
    <row r="644">
      <c r="F644" s="117"/>
      <c r="J644" s="27"/>
      <c r="K644" s="27"/>
    </row>
    <row r="645">
      <c r="F645" s="117"/>
      <c r="J645" s="27"/>
      <c r="K645" s="27"/>
    </row>
    <row r="646">
      <c r="F646" s="117"/>
      <c r="J646" s="27"/>
      <c r="K646" s="27"/>
    </row>
    <row r="647">
      <c r="F647" s="117"/>
      <c r="J647" s="27"/>
      <c r="K647" s="27"/>
    </row>
    <row r="648">
      <c r="F648" s="117"/>
      <c r="J648" s="27"/>
      <c r="K648" s="27"/>
    </row>
    <row r="649">
      <c r="F649" s="117"/>
      <c r="J649" s="27"/>
      <c r="K649" s="27"/>
    </row>
    <row r="650">
      <c r="F650" s="117"/>
      <c r="J650" s="27"/>
      <c r="K650" s="27"/>
    </row>
    <row r="651">
      <c r="F651" s="117"/>
      <c r="J651" s="27"/>
      <c r="K651" s="27"/>
    </row>
    <row r="652">
      <c r="F652" s="117"/>
      <c r="J652" s="27"/>
      <c r="K652" s="27"/>
    </row>
    <row r="653">
      <c r="F653" s="117"/>
      <c r="J653" s="27"/>
      <c r="K653" s="27"/>
    </row>
    <row r="654">
      <c r="F654" s="117"/>
      <c r="J654" s="27"/>
      <c r="K654" s="27"/>
    </row>
    <row r="655">
      <c r="F655" s="117"/>
      <c r="J655" s="27"/>
      <c r="K655" s="27"/>
    </row>
    <row r="656">
      <c r="F656" s="117"/>
      <c r="J656" s="27"/>
      <c r="K656" s="27"/>
    </row>
    <row r="657">
      <c r="F657" s="117"/>
      <c r="J657" s="27"/>
      <c r="K657" s="27"/>
    </row>
    <row r="658">
      <c r="F658" s="117"/>
      <c r="J658" s="27"/>
      <c r="K658" s="27"/>
    </row>
    <row r="659">
      <c r="F659" s="117"/>
      <c r="J659" s="27"/>
      <c r="K659" s="27"/>
    </row>
    <row r="660">
      <c r="F660" s="117"/>
      <c r="J660" s="27"/>
      <c r="K660" s="27"/>
    </row>
    <row r="661">
      <c r="F661" s="117"/>
      <c r="J661" s="27"/>
      <c r="K661" s="27"/>
    </row>
    <row r="662">
      <c r="F662" s="117"/>
      <c r="J662" s="27"/>
      <c r="K662" s="27"/>
    </row>
    <row r="663">
      <c r="F663" s="117"/>
      <c r="J663" s="27"/>
      <c r="K663" s="27"/>
    </row>
    <row r="664">
      <c r="F664" s="117"/>
      <c r="J664" s="27"/>
      <c r="K664" s="27"/>
    </row>
    <row r="665">
      <c r="F665" s="117"/>
      <c r="J665" s="27"/>
      <c r="K665" s="27"/>
    </row>
    <row r="666">
      <c r="F666" s="117"/>
      <c r="J666" s="27"/>
      <c r="K666" s="27"/>
    </row>
    <row r="667">
      <c r="F667" s="117"/>
      <c r="J667" s="27"/>
      <c r="K667" s="27"/>
    </row>
    <row r="668">
      <c r="F668" s="117"/>
      <c r="J668" s="27"/>
      <c r="K668" s="27"/>
    </row>
    <row r="669">
      <c r="F669" s="117"/>
      <c r="J669" s="27"/>
      <c r="K669" s="27"/>
    </row>
    <row r="670">
      <c r="F670" s="117"/>
      <c r="J670" s="27"/>
      <c r="K670" s="27"/>
    </row>
    <row r="671">
      <c r="F671" s="117"/>
      <c r="J671" s="27"/>
      <c r="K671" s="27"/>
    </row>
    <row r="672">
      <c r="F672" s="117"/>
      <c r="J672" s="27"/>
      <c r="K672" s="27"/>
    </row>
    <row r="673">
      <c r="F673" s="117"/>
      <c r="J673" s="27"/>
      <c r="K673" s="27"/>
    </row>
    <row r="674">
      <c r="F674" s="117"/>
      <c r="J674" s="27"/>
      <c r="K674" s="27"/>
    </row>
    <row r="675">
      <c r="F675" s="117"/>
      <c r="J675" s="27"/>
      <c r="K675" s="27"/>
    </row>
    <row r="676">
      <c r="F676" s="117"/>
      <c r="J676" s="27"/>
      <c r="K676" s="27"/>
    </row>
    <row r="677">
      <c r="F677" s="117"/>
      <c r="J677" s="27"/>
      <c r="K677" s="27"/>
    </row>
    <row r="678">
      <c r="F678" s="117"/>
      <c r="J678" s="27"/>
      <c r="K678" s="27"/>
    </row>
    <row r="679">
      <c r="F679" s="117"/>
      <c r="J679" s="27"/>
      <c r="K679" s="27"/>
    </row>
    <row r="680">
      <c r="F680" s="117"/>
      <c r="J680" s="27"/>
      <c r="K680" s="27"/>
    </row>
    <row r="681">
      <c r="F681" s="117"/>
      <c r="J681" s="27"/>
      <c r="K681" s="27"/>
    </row>
    <row r="682">
      <c r="F682" s="117"/>
      <c r="J682" s="27"/>
      <c r="K682" s="27"/>
    </row>
    <row r="683">
      <c r="F683" s="117"/>
      <c r="J683" s="27"/>
      <c r="K683" s="27"/>
    </row>
    <row r="684">
      <c r="F684" s="117"/>
      <c r="J684" s="27"/>
      <c r="K684" s="27"/>
    </row>
    <row r="685">
      <c r="F685" s="117"/>
      <c r="J685" s="27"/>
      <c r="K685" s="27"/>
    </row>
    <row r="686">
      <c r="F686" s="117"/>
      <c r="J686" s="27"/>
      <c r="K686" s="27"/>
    </row>
    <row r="687">
      <c r="F687" s="117"/>
      <c r="J687" s="27"/>
      <c r="K687" s="27"/>
    </row>
    <row r="688">
      <c r="F688" s="117"/>
      <c r="J688" s="27"/>
      <c r="K688" s="27"/>
    </row>
    <row r="689">
      <c r="F689" s="117"/>
      <c r="J689" s="27"/>
      <c r="K689" s="27"/>
    </row>
    <row r="690">
      <c r="F690" s="117"/>
      <c r="J690" s="27"/>
      <c r="K690" s="27"/>
    </row>
    <row r="691">
      <c r="F691" s="117"/>
      <c r="J691" s="27"/>
      <c r="K691" s="27"/>
    </row>
    <row r="692">
      <c r="F692" s="117"/>
      <c r="J692" s="27"/>
      <c r="K692" s="27"/>
    </row>
    <row r="693">
      <c r="F693" s="117"/>
      <c r="J693" s="27"/>
      <c r="K693" s="27"/>
    </row>
    <row r="694">
      <c r="F694" s="117"/>
      <c r="J694" s="27"/>
      <c r="K694" s="27"/>
    </row>
    <row r="695">
      <c r="F695" s="117"/>
      <c r="J695" s="27"/>
      <c r="K695" s="27"/>
    </row>
    <row r="696">
      <c r="F696" s="117"/>
      <c r="J696" s="27"/>
      <c r="K696" s="27"/>
    </row>
    <row r="697">
      <c r="F697" s="117"/>
      <c r="J697" s="27"/>
      <c r="K697" s="27"/>
    </row>
    <row r="698">
      <c r="F698" s="117"/>
      <c r="J698" s="27"/>
      <c r="K698" s="27"/>
    </row>
    <row r="699">
      <c r="F699" s="117"/>
      <c r="J699" s="27"/>
      <c r="K699" s="27"/>
    </row>
    <row r="700">
      <c r="F700" s="117"/>
      <c r="J700" s="27"/>
      <c r="K700" s="27"/>
    </row>
    <row r="701">
      <c r="F701" s="117"/>
      <c r="J701" s="27"/>
      <c r="K701" s="27"/>
    </row>
    <row r="702">
      <c r="F702" s="117"/>
      <c r="J702" s="27"/>
      <c r="K702" s="27"/>
    </row>
    <row r="703">
      <c r="F703" s="117"/>
      <c r="J703" s="27"/>
      <c r="K703" s="27"/>
    </row>
    <row r="704">
      <c r="F704" s="117"/>
      <c r="J704" s="27"/>
      <c r="K704" s="27"/>
    </row>
    <row r="705">
      <c r="F705" s="117"/>
      <c r="J705" s="27"/>
      <c r="K705" s="27"/>
    </row>
    <row r="706">
      <c r="F706" s="117"/>
      <c r="J706" s="27"/>
      <c r="K706" s="27"/>
    </row>
    <row r="707">
      <c r="F707" s="117"/>
      <c r="J707" s="27"/>
      <c r="K707" s="27"/>
    </row>
    <row r="708">
      <c r="F708" s="117"/>
      <c r="J708" s="27"/>
      <c r="K708" s="27"/>
    </row>
    <row r="709">
      <c r="F709" s="117"/>
      <c r="J709" s="27"/>
      <c r="K709" s="27"/>
    </row>
    <row r="710">
      <c r="F710" s="117"/>
      <c r="J710" s="27"/>
      <c r="K710" s="27"/>
    </row>
    <row r="711">
      <c r="F711" s="117"/>
      <c r="J711" s="27"/>
      <c r="K711" s="27"/>
    </row>
    <row r="712">
      <c r="F712" s="117"/>
      <c r="J712" s="27"/>
      <c r="K712" s="27"/>
    </row>
    <row r="713">
      <c r="F713" s="117"/>
      <c r="J713" s="27"/>
      <c r="K713" s="27"/>
    </row>
    <row r="714">
      <c r="F714" s="117"/>
      <c r="J714" s="27"/>
      <c r="K714" s="27"/>
    </row>
    <row r="715">
      <c r="F715" s="117"/>
      <c r="J715" s="27"/>
      <c r="K715" s="27"/>
    </row>
    <row r="716">
      <c r="F716" s="117"/>
      <c r="J716" s="27"/>
      <c r="K716" s="27"/>
    </row>
    <row r="717">
      <c r="F717" s="117"/>
      <c r="J717" s="27"/>
      <c r="K717" s="27"/>
    </row>
    <row r="718">
      <c r="F718" s="117"/>
      <c r="J718" s="27"/>
      <c r="K718" s="27"/>
    </row>
    <row r="719">
      <c r="F719" s="117"/>
      <c r="J719" s="27"/>
      <c r="K719" s="27"/>
    </row>
    <row r="720">
      <c r="F720" s="117"/>
      <c r="J720" s="27"/>
      <c r="K720" s="27"/>
    </row>
    <row r="721">
      <c r="F721" s="117"/>
      <c r="J721" s="27"/>
      <c r="K721" s="27"/>
    </row>
    <row r="722">
      <c r="F722" s="117"/>
      <c r="J722" s="27"/>
      <c r="K722" s="27"/>
    </row>
    <row r="723">
      <c r="F723" s="117"/>
      <c r="J723" s="27"/>
      <c r="K723" s="27"/>
    </row>
    <row r="724">
      <c r="F724" s="117"/>
      <c r="J724" s="27"/>
      <c r="K724" s="27"/>
    </row>
    <row r="725">
      <c r="F725" s="117"/>
      <c r="J725" s="27"/>
      <c r="K725" s="27"/>
    </row>
    <row r="726">
      <c r="F726" s="117"/>
      <c r="J726" s="27"/>
      <c r="K726" s="27"/>
    </row>
    <row r="727">
      <c r="F727" s="117"/>
      <c r="J727" s="27"/>
      <c r="K727" s="27"/>
    </row>
    <row r="728">
      <c r="F728" s="117"/>
      <c r="J728" s="27"/>
      <c r="K728" s="27"/>
    </row>
    <row r="729">
      <c r="F729" s="117"/>
      <c r="J729" s="27"/>
      <c r="K729" s="27"/>
    </row>
    <row r="730">
      <c r="F730" s="117"/>
      <c r="J730" s="27"/>
      <c r="K730" s="27"/>
    </row>
    <row r="731">
      <c r="F731" s="117"/>
      <c r="J731" s="27"/>
      <c r="K731" s="27"/>
    </row>
    <row r="732">
      <c r="F732" s="117"/>
      <c r="J732" s="27"/>
      <c r="K732" s="27"/>
    </row>
    <row r="733">
      <c r="F733" s="117"/>
      <c r="J733" s="27"/>
      <c r="K733" s="27"/>
    </row>
    <row r="734">
      <c r="F734" s="117"/>
      <c r="J734" s="27"/>
      <c r="K734" s="27"/>
    </row>
    <row r="735">
      <c r="F735" s="117"/>
      <c r="J735" s="27"/>
      <c r="K735" s="27"/>
    </row>
    <row r="736">
      <c r="F736" s="117"/>
      <c r="J736" s="27"/>
      <c r="K736" s="27"/>
    </row>
    <row r="737">
      <c r="F737" s="117"/>
      <c r="J737" s="27"/>
      <c r="K737" s="27"/>
    </row>
    <row r="738">
      <c r="F738" s="117"/>
      <c r="J738" s="27"/>
      <c r="K738" s="27"/>
    </row>
    <row r="739">
      <c r="F739" s="117"/>
      <c r="J739" s="27"/>
      <c r="K739" s="27"/>
    </row>
    <row r="740">
      <c r="F740" s="117"/>
      <c r="J740" s="27"/>
      <c r="K740" s="27"/>
    </row>
    <row r="741">
      <c r="F741" s="117"/>
      <c r="J741" s="27"/>
      <c r="K741" s="27"/>
    </row>
    <row r="742">
      <c r="F742" s="117"/>
      <c r="J742" s="27"/>
      <c r="K742" s="27"/>
    </row>
    <row r="743">
      <c r="F743" s="117"/>
      <c r="J743" s="27"/>
      <c r="K743" s="27"/>
    </row>
    <row r="744">
      <c r="F744" s="117"/>
      <c r="J744" s="27"/>
      <c r="K744" s="27"/>
    </row>
    <row r="745">
      <c r="F745" s="117"/>
      <c r="J745" s="27"/>
      <c r="K745" s="27"/>
    </row>
    <row r="746">
      <c r="F746" s="117"/>
      <c r="J746" s="27"/>
      <c r="K746" s="27"/>
    </row>
    <row r="747">
      <c r="F747" s="117"/>
      <c r="J747" s="27"/>
      <c r="K747" s="27"/>
    </row>
    <row r="748">
      <c r="F748" s="117"/>
      <c r="J748" s="27"/>
      <c r="K748" s="27"/>
    </row>
    <row r="749">
      <c r="F749" s="117"/>
      <c r="J749" s="27"/>
      <c r="K749" s="27"/>
    </row>
    <row r="750">
      <c r="F750" s="117"/>
      <c r="J750" s="27"/>
      <c r="K750" s="27"/>
    </row>
    <row r="751">
      <c r="F751" s="117"/>
      <c r="J751" s="27"/>
      <c r="K751" s="27"/>
    </row>
    <row r="752">
      <c r="F752" s="117"/>
      <c r="J752" s="27"/>
      <c r="K752" s="27"/>
    </row>
    <row r="753">
      <c r="F753" s="117"/>
      <c r="J753" s="27"/>
      <c r="K753" s="27"/>
    </row>
    <row r="754">
      <c r="F754" s="117"/>
      <c r="J754" s="27"/>
      <c r="K754" s="27"/>
    </row>
    <row r="755">
      <c r="F755" s="117"/>
      <c r="J755" s="27"/>
      <c r="K755" s="27"/>
    </row>
    <row r="756">
      <c r="F756" s="117"/>
      <c r="J756" s="27"/>
      <c r="K756" s="27"/>
    </row>
    <row r="757">
      <c r="F757" s="117"/>
      <c r="J757" s="27"/>
      <c r="K757" s="27"/>
    </row>
    <row r="758">
      <c r="F758" s="117"/>
      <c r="J758" s="27"/>
      <c r="K758" s="27"/>
    </row>
    <row r="759">
      <c r="F759" s="117"/>
      <c r="J759" s="27"/>
      <c r="K759" s="27"/>
    </row>
    <row r="760">
      <c r="F760" s="117"/>
      <c r="J760" s="27"/>
      <c r="K760" s="27"/>
    </row>
    <row r="761">
      <c r="F761" s="117"/>
      <c r="J761" s="27"/>
      <c r="K761" s="27"/>
    </row>
    <row r="762">
      <c r="F762" s="117"/>
      <c r="J762" s="27"/>
      <c r="K762" s="27"/>
    </row>
    <row r="763">
      <c r="F763" s="117"/>
      <c r="J763" s="27"/>
      <c r="K763" s="27"/>
    </row>
    <row r="764">
      <c r="F764" s="117"/>
      <c r="J764" s="27"/>
      <c r="K764" s="27"/>
    </row>
    <row r="765">
      <c r="F765" s="117"/>
      <c r="J765" s="27"/>
      <c r="K765" s="27"/>
    </row>
    <row r="766">
      <c r="F766" s="117"/>
      <c r="J766" s="27"/>
      <c r="K766" s="27"/>
    </row>
    <row r="767">
      <c r="F767" s="117"/>
      <c r="J767" s="27"/>
      <c r="K767" s="27"/>
    </row>
    <row r="768">
      <c r="F768" s="117"/>
      <c r="J768" s="27"/>
      <c r="K768" s="27"/>
    </row>
    <row r="769">
      <c r="F769" s="117"/>
      <c r="J769" s="27"/>
      <c r="K769" s="27"/>
    </row>
    <row r="770">
      <c r="F770" s="117"/>
      <c r="J770" s="27"/>
      <c r="K770" s="27"/>
    </row>
    <row r="771">
      <c r="F771" s="117"/>
      <c r="J771" s="27"/>
      <c r="K771" s="27"/>
    </row>
    <row r="772">
      <c r="F772" s="117"/>
      <c r="J772" s="27"/>
      <c r="K772" s="27"/>
    </row>
    <row r="773">
      <c r="F773" s="117"/>
      <c r="J773" s="27"/>
      <c r="K773" s="27"/>
    </row>
    <row r="774">
      <c r="F774" s="117"/>
      <c r="J774" s="27"/>
      <c r="K774" s="27"/>
    </row>
    <row r="775">
      <c r="F775" s="117"/>
      <c r="J775" s="27"/>
      <c r="K775" s="27"/>
    </row>
    <row r="776">
      <c r="F776" s="117"/>
      <c r="J776" s="27"/>
      <c r="K776" s="27"/>
    </row>
    <row r="777">
      <c r="F777" s="117"/>
      <c r="J777" s="27"/>
      <c r="K777" s="27"/>
    </row>
    <row r="778">
      <c r="F778" s="117"/>
      <c r="J778" s="27"/>
      <c r="K778" s="27"/>
    </row>
    <row r="779">
      <c r="F779" s="117"/>
      <c r="J779" s="27"/>
      <c r="K779" s="27"/>
    </row>
    <row r="780">
      <c r="F780" s="117"/>
      <c r="J780" s="27"/>
      <c r="K780" s="27"/>
    </row>
    <row r="781">
      <c r="F781" s="117"/>
      <c r="J781" s="27"/>
      <c r="K781" s="27"/>
    </row>
    <row r="782">
      <c r="F782" s="117"/>
      <c r="J782" s="27"/>
      <c r="K782" s="27"/>
    </row>
    <row r="783">
      <c r="F783" s="117"/>
      <c r="J783" s="27"/>
      <c r="K783" s="27"/>
    </row>
    <row r="784">
      <c r="F784" s="117"/>
      <c r="J784" s="27"/>
      <c r="K784" s="27"/>
    </row>
    <row r="785">
      <c r="F785" s="117"/>
      <c r="J785" s="27"/>
      <c r="K785" s="27"/>
    </row>
    <row r="786">
      <c r="F786" s="117"/>
      <c r="J786" s="27"/>
      <c r="K786" s="27"/>
    </row>
    <row r="787">
      <c r="F787" s="117"/>
      <c r="J787" s="27"/>
      <c r="K787" s="27"/>
    </row>
    <row r="788">
      <c r="F788" s="117"/>
      <c r="J788" s="27"/>
      <c r="K788" s="27"/>
    </row>
    <row r="789">
      <c r="F789" s="117"/>
      <c r="J789" s="27"/>
      <c r="K789" s="27"/>
    </row>
    <row r="790">
      <c r="F790" s="117"/>
      <c r="J790" s="27"/>
      <c r="K790" s="27"/>
    </row>
    <row r="791">
      <c r="F791" s="117"/>
      <c r="J791" s="27"/>
      <c r="K791" s="27"/>
    </row>
    <row r="792">
      <c r="F792" s="117"/>
      <c r="J792" s="27"/>
      <c r="K792" s="27"/>
    </row>
    <row r="793">
      <c r="F793" s="117"/>
      <c r="J793" s="27"/>
      <c r="K793" s="27"/>
    </row>
    <row r="794">
      <c r="F794" s="117"/>
      <c r="J794" s="27"/>
      <c r="K794" s="27"/>
    </row>
    <row r="795">
      <c r="F795" s="117"/>
      <c r="J795" s="27"/>
      <c r="K795" s="27"/>
    </row>
    <row r="796">
      <c r="F796" s="117"/>
      <c r="J796" s="27"/>
      <c r="K796" s="27"/>
    </row>
    <row r="797">
      <c r="F797" s="117"/>
      <c r="J797" s="27"/>
      <c r="K797" s="27"/>
    </row>
    <row r="798">
      <c r="F798" s="117"/>
      <c r="J798" s="27"/>
      <c r="K798" s="27"/>
    </row>
    <row r="799">
      <c r="F799" s="117"/>
      <c r="J799" s="27"/>
      <c r="K799" s="27"/>
    </row>
    <row r="800">
      <c r="F800" s="117"/>
      <c r="J800" s="27"/>
      <c r="K800" s="27"/>
    </row>
    <row r="801">
      <c r="F801" s="117"/>
      <c r="J801" s="27"/>
      <c r="K801" s="27"/>
    </row>
    <row r="802">
      <c r="F802" s="117"/>
      <c r="J802" s="27"/>
      <c r="K802" s="27"/>
    </row>
    <row r="803">
      <c r="F803" s="117"/>
      <c r="J803" s="27"/>
      <c r="K803" s="27"/>
    </row>
    <row r="804">
      <c r="F804" s="117"/>
      <c r="J804" s="27"/>
      <c r="K804" s="27"/>
    </row>
    <row r="805">
      <c r="F805" s="117"/>
      <c r="J805" s="27"/>
      <c r="K805" s="27"/>
    </row>
    <row r="806">
      <c r="F806" s="117"/>
      <c r="J806" s="27"/>
      <c r="K806" s="27"/>
    </row>
    <row r="807">
      <c r="F807" s="117"/>
      <c r="J807" s="27"/>
      <c r="K807" s="27"/>
    </row>
    <row r="808">
      <c r="F808" s="117"/>
      <c r="J808" s="27"/>
      <c r="K808" s="27"/>
    </row>
    <row r="809">
      <c r="F809" s="117"/>
      <c r="J809" s="27"/>
      <c r="K809" s="27"/>
    </row>
    <row r="810">
      <c r="F810" s="117"/>
      <c r="J810" s="27"/>
      <c r="K810" s="27"/>
    </row>
    <row r="811">
      <c r="F811" s="117"/>
      <c r="J811" s="27"/>
      <c r="K811" s="27"/>
    </row>
    <row r="812">
      <c r="F812" s="117"/>
      <c r="J812" s="27"/>
      <c r="K812" s="27"/>
    </row>
    <row r="813">
      <c r="F813" s="117"/>
      <c r="J813" s="27"/>
      <c r="K813" s="27"/>
    </row>
    <row r="814">
      <c r="F814" s="117"/>
      <c r="J814" s="27"/>
      <c r="K814" s="27"/>
    </row>
    <row r="815">
      <c r="F815" s="117"/>
      <c r="J815" s="27"/>
      <c r="K815" s="27"/>
    </row>
    <row r="816">
      <c r="F816" s="117"/>
      <c r="J816" s="27"/>
      <c r="K816" s="27"/>
    </row>
    <row r="817">
      <c r="F817" s="117"/>
      <c r="J817" s="27"/>
      <c r="K817" s="27"/>
    </row>
    <row r="818">
      <c r="F818" s="117"/>
      <c r="J818" s="27"/>
      <c r="K818" s="27"/>
    </row>
    <row r="819">
      <c r="F819" s="117"/>
      <c r="J819" s="27"/>
      <c r="K819" s="27"/>
    </row>
    <row r="820">
      <c r="F820" s="117"/>
      <c r="J820" s="27"/>
      <c r="K820" s="27"/>
    </row>
    <row r="821">
      <c r="F821" s="117"/>
      <c r="J821" s="27"/>
      <c r="K821" s="27"/>
    </row>
    <row r="822">
      <c r="F822" s="117"/>
      <c r="J822" s="27"/>
      <c r="K822" s="27"/>
    </row>
    <row r="823">
      <c r="F823" s="117"/>
      <c r="J823" s="27"/>
      <c r="K823" s="27"/>
    </row>
    <row r="824">
      <c r="F824" s="117"/>
      <c r="J824" s="27"/>
      <c r="K824" s="27"/>
    </row>
    <row r="825">
      <c r="F825" s="117"/>
      <c r="J825" s="27"/>
      <c r="K825" s="27"/>
    </row>
    <row r="826">
      <c r="F826" s="117"/>
      <c r="J826" s="27"/>
      <c r="K826" s="27"/>
    </row>
    <row r="827">
      <c r="F827" s="117"/>
      <c r="J827" s="27"/>
      <c r="K827" s="27"/>
    </row>
    <row r="828">
      <c r="F828" s="117"/>
      <c r="J828" s="27"/>
      <c r="K828" s="27"/>
    </row>
    <row r="829">
      <c r="F829" s="117"/>
      <c r="J829" s="27"/>
      <c r="K829" s="27"/>
    </row>
    <row r="830">
      <c r="F830" s="117"/>
      <c r="J830" s="27"/>
      <c r="K830" s="27"/>
    </row>
    <row r="831">
      <c r="F831" s="117"/>
      <c r="J831" s="27"/>
      <c r="K831" s="27"/>
    </row>
    <row r="832">
      <c r="F832" s="117"/>
      <c r="J832" s="27"/>
      <c r="K832" s="27"/>
    </row>
    <row r="833">
      <c r="F833" s="117"/>
      <c r="J833" s="27"/>
      <c r="K833" s="27"/>
    </row>
    <row r="834">
      <c r="F834" s="117"/>
      <c r="J834" s="27"/>
      <c r="K834" s="27"/>
    </row>
    <row r="835">
      <c r="F835" s="117"/>
      <c r="J835" s="27"/>
      <c r="K835" s="27"/>
    </row>
    <row r="836">
      <c r="F836" s="117"/>
      <c r="J836" s="27"/>
      <c r="K836" s="27"/>
    </row>
    <row r="837">
      <c r="F837" s="117"/>
      <c r="J837" s="27"/>
      <c r="K837" s="27"/>
    </row>
    <row r="838">
      <c r="F838" s="117"/>
      <c r="J838" s="27"/>
      <c r="K838" s="27"/>
    </row>
    <row r="839">
      <c r="F839" s="117"/>
      <c r="J839" s="27"/>
      <c r="K839" s="27"/>
    </row>
    <row r="840">
      <c r="F840" s="117"/>
      <c r="J840" s="27"/>
      <c r="K840" s="27"/>
    </row>
    <row r="841">
      <c r="F841" s="117"/>
      <c r="J841" s="27"/>
      <c r="K841" s="27"/>
    </row>
    <row r="842">
      <c r="F842" s="117"/>
      <c r="J842" s="27"/>
      <c r="K842" s="27"/>
    </row>
    <row r="843">
      <c r="F843" s="117"/>
      <c r="J843" s="27"/>
      <c r="K843" s="27"/>
    </row>
    <row r="844">
      <c r="F844" s="117"/>
      <c r="J844" s="27"/>
      <c r="K844" s="27"/>
    </row>
    <row r="845">
      <c r="F845" s="117"/>
      <c r="J845" s="27"/>
      <c r="K845" s="27"/>
    </row>
    <row r="846">
      <c r="F846" s="117"/>
      <c r="J846" s="27"/>
      <c r="K846" s="27"/>
    </row>
    <row r="847">
      <c r="F847" s="117"/>
      <c r="J847" s="27"/>
      <c r="K847" s="27"/>
    </row>
    <row r="848">
      <c r="F848" s="117"/>
      <c r="J848" s="27"/>
      <c r="K848" s="27"/>
    </row>
    <row r="849">
      <c r="F849" s="117"/>
      <c r="J849" s="27"/>
      <c r="K849" s="27"/>
    </row>
    <row r="850">
      <c r="F850" s="117"/>
      <c r="J850" s="27"/>
      <c r="K850" s="27"/>
    </row>
    <row r="851">
      <c r="F851" s="117"/>
      <c r="J851" s="27"/>
      <c r="K851" s="27"/>
    </row>
    <row r="852">
      <c r="F852" s="117"/>
      <c r="J852" s="27"/>
      <c r="K852" s="27"/>
    </row>
    <row r="853">
      <c r="F853" s="117"/>
      <c r="J853" s="27"/>
      <c r="K853" s="27"/>
    </row>
    <row r="854">
      <c r="F854" s="117"/>
      <c r="J854" s="27"/>
      <c r="K854" s="27"/>
    </row>
    <row r="855">
      <c r="F855" s="117"/>
      <c r="J855" s="27"/>
      <c r="K855" s="27"/>
    </row>
    <row r="856">
      <c r="F856" s="117"/>
      <c r="J856" s="27"/>
      <c r="K856" s="27"/>
    </row>
    <row r="857">
      <c r="F857" s="117"/>
      <c r="J857" s="27"/>
      <c r="K857" s="27"/>
    </row>
    <row r="858">
      <c r="F858" s="117"/>
      <c r="J858" s="27"/>
      <c r="K858" s="27"/>
    </row>
    <row r="859">
      <c r="F859" s="117"/>
      <c r="J859" s="27"/>
      <c r="K859" s="27"/>
    </row>
    <row r="860">
      <c r="F860" s="117"/>
      <c r="J860" s="27"/>
      <c r="K860" s="27"/>
    </row>
    <row r="861">
      <c r="F861" s="117"/>
      <c r="J861" s="27"/>
      <c r="K861" s="27"/>
    </row>
    <row r="862">
      <c r="F862" s="117"/>
      <c r="J862" s="27"/>
      <c r="K862" s="27"/>
    </row>
    <row r="863">
      <c r="F863" s="117"/>
      <c r="J863" s="27"/>
      <c r="K863" s="27"/>
    </row>
    <row r="864">
      <c r="F864" s="117"/>
      <c r="J864" s="27"/>
      <c r="K864" s="27"/>
    </row>
    <row r="865">
      <c r="F865" s="117"/>
      <c r="J865" s="27"/>
      <c r="K865" s="27"/>
    </row>
    <row r="866">
      <c r="F866" s="117"/>
      <c r="J866" s="27"/>
      <c r="K866" s="27"/>
    </row>
    <row r="867">
      <c r="F867" s="117"/>
      <c r="J867" s="27"/>
      <c r="K867" s="27"/>
    </row>
    <row r="868">
      <c r="F868" s="117"/>
      <c r="J868" s="27"/>
      <c r="K868" s="27"/>
    </row>
    <row r="869">
      <c r="F869" s="117"/>
      <c r="J869" s="27"/>
      <c r="K869" s="27"/>
    </row>
    <row r="870">
      <c r="F870" s="117"/>
      <c r="J870" s="27"/>
      <c r="K870" s="27"/>
    </row>
    <row r="871">
      <c r="F871" s="117"/>
      <c r="J871" s="27"/>
      <c r="K871" s="27"/>
    </row>
    <row r="872">
      <c r="F872" s="117"/>
      <c r="J872" s="27"/>
      <c r="K872" s="27"/>
    </row>
    <row r="873">
      <c r="F873" s="117"/>
      <c r="J873" s="27"/>
      <c r="K873" s="27"/>
    </row>
    <row r="874">
      <c r="F874" s="117"/>
      <c r="J874" s="27"/>
      <c r="K874" s="27"/>
    </row>
    <row r="875">
      <c r="F875" s="117"/>
      <c r="J875" s="27"/>
      <c r="K875" s="27"/>
    </row>
    <row r="876">
      <c r="F876" s="117"/>
      <c r="J876" s="27"/>
      <c r="K876" s="27"/>
    </row>
    <row r="877">
      <c r="F877" s="117"/>
      <c r="J877" s="27"/>
      <c r="K877" s="27"/>
    </row>
    <row r="878">
      <c r="F878" s="117"/>
      <c r="J878" s="27"/>
      <c r="K878" s="27"/>
    </row>
    <row r="879">
      <c r="F879" s="117"/>
      <c r="J879" s="27"/>
      <c r="K879" s="27"/>
    </row>
    <row r="880">
      <c r="F880" s="117"/>
      <c r="J880" s="27"/>
      <c r="K880" s="27"/>
    </row>
    <row r="881">
      <c r="F881" s="117"/>
      <c r="J881" s="27"/>
      <c r="K881" s="27"/>
    </row>
    <row r="882">
      <c r="F882" s="117"/>
      <c r="J882" s="27"/>
      <c r="K882" s="27"/>
    </row>
    <row r="883">
      <c r="F883" s="117"/>
      <c r="J883" s="27"/>
      <c r="K883" s="27"/>
    </row>
    <row r="884">
      <c r="F884" s="117"/>
      <c r="J884" s="27"/>
      <c r="K884" s="27"/>
    </row>
    <row r="885">
      <c r="F885" s="117"/>
      <c r="J885" s="27"/>
      <c r="K885" s="27"/>
    </row>
    <row r="886">
      <c r="F886" s="117"/>
      <c r="J886" s="27"/>
      <c r="K886" s="27"/>
    </row>
    <row r="887">
      <c r="F887" s="117"/>
      <c r="J887" s="27"/>
      <c r="K887" s="27"/>
    </row>
    <row r="888">
      <c r="F888" s="117"/>
      <c r="J888" s="27"/>
      <c r="K888" s="27"/>
    </row>
    <row r="889">
      <c r="F889" s="117"/>
      <c r="J889" s="27"/>
      <c r="K889" s="27"/>
    </row>
    <row r="890">
      <c r="F890" s="117"/>
      <c r="J890" s="27"/>
      <c r="K890" s="27"/>
    </row>
    <row r="891">
      <c r="F891" s="117"/>
      <c r="J891" s="27"/>
      <c r="K891" s="27"/>
    </row>
    <row r="892">
      <c r="F892" s="117"/>
      <c r="J892" s="27"/>
      <c r="K892" s="27"/>
    </row>
    <row r="893">
      <c r="F893" s="117"/>
      <c r="J893" s="27"/>
      <c r="K893" s="27"/>
    </row>
    <row r="894">
      <c r="F894" s="117"/>
      <c r="J894" s="27"/>
      <c r="K894" s="27"/>
    </row>
    <row r="895">
      <c r="F895" s="117"/>
      <c r="J895" s="27"/>
      <c r="K895" s="27"/>
    </row>
    <row r="896">
      <c r="F896" s="117"/>
      <c r="J896" s="27"/>
      <c r="K896" s="27"/>
    </row>
    <row r="897">
      <c r="F897" s="117"/>
      <c r="J897" s="27"/>
      <c r="K897" s="27"/>
    </row>
    <row r="898">
      <c r="F898" s="117"/>
      <c r="J898" s="27"/>
      <c r="K898" s="27"/>
    </row>
    <row r="899">
      <c r="F899" s="117"/>
      <c r="J899" s="27"/>
      <c r="K899" s="27"/>
    </row>
    <row r="900">
      <c r="F900" s="117"/>
      <c r="J900" s="27"/>
      <c r="K900" s="27"/>
    </row>
    <row r="901">
      <c r="F901" s="117"/>
      <c r="J901" s="27"/>
      <c r="K901" s="27"/>
    </row>
    <row r="902">
      <c r="F902" s="117"/>
      <c r="J902" s="27"/>
      <c r="K902" s="27"/>
    </row>
    <row r="903">
      <c r="F903" s="117"/>
      <c r="J903" s="27"/>
      <c r="K903" s="27"/>
    </row>
    <row r="904">
      <c r="F904" s="117"/>
      <c r="J904" s="27"/>
      <c r="K904" s="27"/>
    </row>
    <row r="905">
      <c r="F905" s="117"/>
      <c r="J905" s="27"/>
      <c r="K905" s="27"/>
    </row>
    <row r="906">
      <c r="F906" s="117"/>
      <c r="J906" s="27"/>
      <c r="K906" s="27"/>
    </row>
    <row r="907">
      <c r="F907" s="117"/>
      <c r="J907" s="27"/>
      <c r="K907" s="27"/>
    </row>
    <row r="908">
      <c r="F908" s="117"/>
      <c r="J908" s="27"/>
      <c r="K908" s="27"/>
    </row>
    <row r="909">
      <c r="F909" s="117"/>
      <c r="J909" s="27"/>
      <c r="K909" s="27"/>
    </row>
    <row r="910">
      <c r="F910" s="117"/>
      <c r="J910" s="27"/>
      <c r="K910" s="27"/>
    </row>
    <row r="911">
      <c r="F911" s="117"/>
      <c r="J911" s="27"/>
      <c r="K911" s="27"/>
    </row>
    <row r="912">
      <c r="F912" s="117"/>
      <c r="J912" s="27"/>
      <c r="K912" s="27"/>
    </row>
    <row r="913">
      <c r="F913" s="117"/>
      <c r="J913" s="27"/>
      <c r="K913" s="27"/>
    </row>
    <row r="914">
      <c r="F914" s="117"/>
      <c r="J914" s="27"/>
      <c r="K914" s="27"/>
    </row>
    <row r="915">
      <c r="F915" s="117"/>
      <c r="J915" s="27"/>
      <c r="K915" s="27"/>
    </row>
    <row r="916">
      <c r="F916" s="117"/>
      <c r="J916" s="27"/>
      <c r="K916" s="27"/>
    </row>
    <row r="917">
      <c r="F917" s="117"/>
      <c r="J917" s="27"/>
      <c r="K917" s="27"/>
    </row>
    <row r="918">
      <c r="F918" s="117"/>
      <c r="J918" s="27"/>
      <c r="K918" s="27"/>
    </row>
    <row r="919">
      <c r="F919" s="117"/>
      <c r="J919" s="27"/>
      <c r="K919" s="27"/>
    </row>
    <row r="920">
      <c r="F920" s="117"/>
      <c r="J920" s="27"/>
      <c r="K920" s="27"/>
    </row>
    <row r="921">
      <c r="F921" s="117"/>
      <c r="J921" s="27"/>
      <c r="K921" s="27"/>
    </row>
    <row r="922">
      <c r="F922" s="117"/>
      <c r="J922" s="27"/>
      <c r="K922" s="27"/>
    </row>
    <row r="923">
      <c r="F923" s="117"/>
      <c r="J923" s="27"/>
      <c r="K923" s="27"/>
    </row>
    <row r="924">
      <c r="F924" s="117"/>
      <c r="J924" s="27"/>
      <c r="K924" s="27"/>
    </row>
    <row r="925">
      <c r="F925" s="117"/>
      <c r="J925" s="27"/>
      <c r="K925" s="27"/>
    </row>
    <row r="926">
      <c r="F926" s="117"/>
      <c r="J926" s="27"/>
      <c r="K926" s="27"/>
    </row>
    <row r="927">
      <c r="F927" s="117"/>
      <c r="J927" s="27"/>
      <c r="K927" s="27"/>
    </row>
    <row r="928">
      <c r="F928" s="117"/>
      <c r="J928" s="27"/>
      <c r="K928" s="27"/>
    </row>
    <row r="929">
      <c r="F929" s="117"/>
      <c r="J929" s="27"/>
      <c r="K929" s="27"/>
    </row>
    <row r="930">
      <c r="F930" s="117"/>
      <c r="J930" s="27"/>
      <c r="K930" s="27"/>
    </row>
    <row r="931">
      <c r="F931" s="117"/>
      <c r="J931" s="27"/>
      <c r="K931" s="27"/>
    </row>
    <row r="932">
      <c r="F932" s="117"/>
      <c r="J932" s="27"/>
      <c r="K932" s="27"/>
    </row>
    <row r="933">
      <c r="F933" s="117"/>
      <c r="J933" s="27"/>
      <c r="K933" s="27"/>
    </row>
    <row r="934">
      <c r="F934" s="117"/>
      <c r="J934" s="27"/>
      <c r="K934" s="27"/>
    </row>
    <row r="935">
      <c r="F935" s="117"/>
      <c r="J935" s="27"/>
      <c r="K935" s="27"/>
    </row>
    <row r="936">
      <c r="F936" s="117"/>
      <c r="J936" s="27"/>
      <c r="K936" s="27"/>
    </row>
    <row r="937">
      <c r="F937" s="117"/>
      <c r="J937" s="27"/>
      <c r="K937" s="27"/>
    </row>
    <row r="938">
      <c r="F938" s="117"/>
      <c r="J938" s="27"/>
      <c r="K938" s="27"/>
    </row>
    <row r="939">
      <c r="F939" s="117"/>
      <c r="J939" s="27"/>
      <c r="K939" s="27"/>
    </row>
    <row r="940">
      <c r="F940" s="117"/>
      <c r="J940" s="27"/>
      <c r="K940" s="27"/>
    </row>
    <row r="941">
      <c r="F941" s="117"/>
      <c r="J941" s="27"/>
      <c r="K941" s="27"/>
    </row>
    <row r="942">
      <c r="F942" s="117"/>
      <c r="J942" s="27"/>
      <c r="K942" s="27"/>
    </row>
    <row r="943">
      <c r="F943" s="117"/>
      <c r="J943" s="27"/>
      <c r="K943" s="27"/>
    </row>
    <row r="944">
      <c r="F944" s="117"/>
      <c r="J944" s="27"/>
      <c r="K944" s="27"/>
    </row>
    <row r="945">
      <c r="F945" s="117"/>
      <c r="J945" s="27"/>
      <c r="K945" s="27"/>
    </row>
    <row r="946">
      <c r="F946" s="117"/>
      <c r="J946" s="27"/>
      <c r="K946" s="27"/>
    </row>
    <row r="947">
      <c r="F947" s="117"/>
      <c r="J947" s="27"/>
      <c r="K947" s="27"/>
    </row>
    <row r="948">
      <c r="F948" s="117"/>
      <c r="J948" s="27"/>
      <c r="K948" s="27"/>
    </row>
    <row r="949">
      <c r="F949" s="117"/>
      <c r="J949" s="27"/>
      <c r="K949" s="27"/>
    </row>
    <row r="950">
      <c r="F950" s="117"/>
      <c r="J950" s="27"/>
      <c r="K950" s="27"/>
    </row>
    <row r="951">
      <c r="F951" s="117"/>
      <c r="J951" s="27"/>
      <c r="K951" s="27"/>
    </row>
    <row r="952">
      <c r="F952" s="117"/>
      <c r="J952" s="27"/>
      <c r="K952" s="27"/>
    </row>
    <row r="953">
      <c r="F953" s="117"/>
      <c r="J953" s="27"/>
      <c r="K953" s="27"/>
    </row>
    <row r="954">
      <c r="F954" s="117"/>
      <c r="J954" s="27"/>
      <c r="K954" s="27"/>
    </row>
    <row r="955">
      <c r="F955" s="117"/>
      <c r="J955" s="27"/>
      <c r="K955" s="27"/>
    </row>
    <row r="956">
      <c r="F956" s="117"/>
      <c r="J956" s="27"/>
      <c r="K956" s="27"/>
    </row>
    <row r="957">
      <c r="F957" s="117"/>
      <c r="J957" s="27"/>
      <c r="K957" s="27"/>
    </row>
    <row r="958">
      <c r="F958" s="117"/>
      <c r="J958" s="27"/>
      <c r="K958" s="27"/>
    </row>
    <row r="959">
      <c r="F959" s="117"/>
      <c r="J959" s="27"/>
      <c r="K959" s="27"/>
    </row>
    <row r="960">
      <c r="F960" s="117"/>
      <c r="J960" s="27"/>
      <c r="K960" s="27"/>
    </row>
    <row r="961">
      <c r="F961" s="117"/>
      <c r="J961" s="27"/>
      <c r="K961" s="27"/>
    </row>
    <row r="962">
      <c r="F962" s="117"/>
      <c r="J962" s="27"/>
      <c r="K962" s="27"/>
    </row>
    <row r="963">
      <c r="F963" s="117"/>
      <c r="J963" s="27"/>
      <c r="K963" s="27"/>
    </row>
    <row r="964">
      <c r="F964" s="117"/>
      <c r="J964" s="27"/>
      <c r="K964" s="27"/>
    </row>
    <row r="965">
      <c r="F965" s="117"/>
      <c r="J965" s="27"/>
      <c r="K965" s="27"/>
    </row>
    <row r="966">
      <c r="F966" s="117"/>
      <c r="J966" s="27"/>
      <c r="K966" s="27"/>
    </row>
    <row r="967">
      <c r="F967" s="117"/>
      <c r="J967" s="27"/>
      <c r="K967" s="27"/>
    </row>
    <row r="968">
      <c r="F968" s="117"/>
      <c r="J968" s="27"/>
      <c r="K968" s="27"/>
    </row>
    <row r="969">
      <c r="F969" s="117"/>
      <c r="J969" s="27"/>
      <c r="K969" s="27"/>
    </row>
    <row r="970">
      <c r="F970" s="117"/>
      <c r="J970" s="27"/>
      <c r="K970" s="27"/>
    </row>
    <row r="971">
      <c r="F971" s="117"/>
      <c r="J971" s="27"/>
      <c r="K971" s="27"/>
    </row>
    <row r="972">
      <c r="F972" s="117"/>
      <c r="J972" s="27"/>
      <c r="K972" s="27"/>
    </row>
    <row r="973">
      <c r="F973" s="117"/>
      <c r="J973" s="27"/>
      <c r="K973" s="27"/>
    </row>
    <row r="974">
      <c r="F974" s="117"/>
      <c r="J974" s="27"/>
      <c r="K974" s="27"/>
    </row>
    <row r="975">
      <c r="F975" s="117"/>
      <c r="J975" s="27"/>
      <c r="K975" s="27"/>
    </row>
    <row r="976">
      <c r="F976" s="117"/>
      <c r="J976" s="27"/>
      <c r="K976" s="27"/>
    </row>
    <row r="977">
      <c r="F977" s="117"/>
      <c r="J977" s="27"/>
      <c r="K977" s="27"/>
    </row>
    <row r="978">
      <c r="F978" s="117"/>
      <c r="J978" s="27"/>
      <c r="K978" s="27"/>
    </row>
    <row r="979">
      <c r="F979" s="117"/>
      <c r="J979" s="27"/>
      <c r="K979" s="27"/>
    </row>
    <row r="980">
      <c r="F980" s="117"/>
      <c r="J980" s="27"/>
      <c r="K980" s="27"/>
    </row>
    <row r="981">
      <c r="F981" s="117"/>
      <c r="J981" s="27"/>
      <c r="K981" s="27"/>
    </row>
    <row r="982">
      <c r="F982" s="117"/>
      <c r="J982" s="27"/>
      <c r="K982" s="27"/>
    </row>
    <row r="983">
      <c r="F983" s="117"/>
      <c r="J983" s="27"/>
      <c r="K983" s="27"/>
    </row>
    <row r="984">
      <c r="F984" s="117"/>
      <c r="J984" s="27"/>
      <c r="K984" s="27"/>
    </row>
    <row r="985">
      <c r="F985" s="117"/>
      <c r="J985" s="27"/>
      <c r="K985" s="27"/>
    </row>
    <row r="986">
      <c r="F986" s="117"/>
      <c r="J986" s="27"/>
      <c r="K986" s="27"/>
    </row>
    <row r="987">
      <c r="F987" s="117"/>
      <c r="J987" s="27"/>
      <c r="K987" s="27"/>
    </row>
    <row r="988">
      <c r="F988" s="117"/>
      <c r="J988" s="27"/>
      <c r="K988" s="27"/>
    </row>
    <row r="989">
      <c r="F989" s="117"/>
      <c r="J989" s="27"/>
      <c r="K989" s="27"/>
    </row>
    <row r="990">
      <c r="F990" s="117"/>
      <c r="J990" s="27"/>
      <c r="K990" s="27"/>
    </row>
    <row r="991">
      <c r="F991" s="117"/>
      <c r="J991" s="27"/>
      <c r="K991" s="27"/>
    </row>
    <row r="992">
      <c r="F992" s="117"/>
      <c r="J992" s="27"/>
      <c r="K992" s="27"/>
    </row>
    <row r="993">
      <c r="F993" s="117"/>
      <c r="J993" s="27"/>
      <c r="K993" s="27"/>
    </row>
    <row r="994">
      <c r="F994" s="117"/>
      <c r="J994" s="27"/>
      <c r="K994" s="27"/>
    </row>
    <row r="995">
      <c r="F995" s="117"/>
      <c r="J995" s="27"/>
      <c r="K995" s="27"/>
    </row>
    <row r="996">
      <c r="F996" s="117"/>
      <c r="J996" s="27"/>
      <c r="K996" s="27"/>
    </row>
    <row r="997">
      <c r="F997" s="117"/>
      <c r="J997" s="27"/>
      <c r="K997" s="27"/>
    </row>
    <row r="998">
      <c r="F998" s="117"/>
      <c r="J998" s="27"/>
      <c r="K998" s="27"/>
    </row>
    <row r="999">
      <c r="F999" s="117"/>
      <c r="J999" s="27"/>
      <c r="K999" s="27"/>
    </row>
    <row r="1000">
      <c r="F1000" s="117"/>
      <c r="J1000" s="27"/>
      <c r="K1000" s="27"/>
    </row>
    <row r="1001">
      <c r="F1001" s="117"/>
      <c r="J1001" s="27"/>
      <c r="K1001" s="27"/>
    </row>
    <row r="1002">
      <c r="F1002" s="117"/>
      <c r="J1002" s="27"/>
      <c r="K1002" s="27"/>
    </row>
    <row r="1003">
      <c r="F1003" s="117"/>
      <c r="J1003" s="27"/>
      <c r="K1003" s="27"/>
    </row>
    <row r="1004">
      <c r="F1004" s="117"/>
      <c r="J1004" s="27"/>
      <c r="K1004" s="27"/>
    </row>
    <row r="1005">
      <c r="F1005" s="117"/>
      <c r="J1005" s="27"/>
      <c r="K1005" s="27"/>
    </row>
    <row r="1006">
      <c r="F1006" s="117"/>
      <c r="J1006" s="27"/>
      <c r="K1006" s="27"/>
    </row>
    <row r="1007">
      <c r="F1007" s="117"/>
      <c r="J1007" s="27"/>
      <c r="K1007" s="27"/>
    </row>
    <row r="1008">
      <c r="F1008" s="117"/>
      <c r="J1008" s="27"/>
      <c r="K1008" s="27"/>
    </row>
    <row r="1009">
      <c r="F1009" s="117"/>
      <c r="J1009" s="27"/>
      <c r="K1009" s="27"/>
    </row>
    <row r="1010">
      <c r="F1010" s="117"/>
      <c r="J1010" s="27"/>
      <c r="K1010" s="27"/>
    </row>
  </sheetData>
  <conditionalFormatting sqref="M1:M45 L44:L87 R101 P102 L103:L1011">
    <cfRule type="cellIs" dxfId="8" priority="1" operator="greaterThan">
      <formula>40</formula>
    </cfRule>
  </conditionalFormatting>
  <conditionalFormatting sqref="O3:O10">
    <cfRule type="cellIs" dxfId="9" priority="2" operator="greaterThan">
      <formula>"E10"</formula>
    </cfRule>
  </conditionalFormatting>
  <conditionalFormatting sqref="Q1:Q87 U102 Q103:Q1011">
    <cfRule type="cellIs" dxfId="9" priority="3" operator="equal">
      <formula>"FALSE"</formula>
    </cfRule>
  </conditionalFormatting>
  <conditionalFormatting sqref="J1:J39 J41:J88 I46:I48 L88:L101 N88:N102 P88:P101 R88:R101 T88:T100 V88:V99 J101:J1011">
    <cfRule type="cellIs" dxfId="5" priority="4" operator="lessThan">
      <formula>-0.15</formula>
    </cfRule>
  </conditionalFormatting>
  <conditionalFormatting sqref="I45">
    <cfRule type="cellIs" dxfId="10" priority="5" operator="greaterThan">
      <formula>0</formula>
    </cfRule>
  </conditionalFormatting>
  <conditionalFormatting sqref="J1:J39 J41:J88 I46:I48 L88:L101 N88:N102 P88:P101 R88:R101 T88:T100 V88:V99 J101:J1011">
    <cfRule type="cellIs" dxfId="11" priority="6" operator="greaterThan">
      <formula>0</formula>
    </cfRule>
  </conditionalFormatting>
  <conditionalFormatting sqref="J1:J39 J41:J88 I46:I48 L88:L101 N88:N102 P88:P101 R88:R101 T88:T100 V88:V99 J101:J1011">
    <cfRule type="cellIs" dxfId="12" priority="7" operator="between">
      <formula>-0.15</formula>
      <formula>0</formula>
    </cfRule>
  </conditionalFormatting>
  <conditionalFormatting sqref="K1:K87 L1 Q101 O102 K103:K1011">
    <cfRule type="cellIs" dxfId="13" priority="8" operator="greaterThan">
      <formula>"3.16%"</formula>
    </cfRule>
  </conditionalFormatting>
  <dataValidations>
    <dataValidation type="custom" allowBlank="1" showDropDown="1" sqref="I2:I26">
      <formula1>OR(NOT(ISERROR(DATEVALUE(I2))), AND(ISNUMBER(I2), LEFT(CELL("format", I2))="D"))</formula1>
    </dataValidation>
    <dataValidation type="custom" allowBlank="1" showDropDown="1" sqref="C2:C26 E2:H26 J2:P26">
      <formula1>AND(ISNUMBER(C2),(NOT(OR(NOT(ISERROR(DATEVALUE(C2))), AND(ISNUMBER(C2), LEFT(CELL("format", C2))="D")))))</formula1>
    </dataValidation>
  </dataValidations>
  <drawing r:id="rId1"/>
  <tableParts count="1">
    <tablePart r:id="rId3"/>
  </tableParts>
</worksheet>
</file>